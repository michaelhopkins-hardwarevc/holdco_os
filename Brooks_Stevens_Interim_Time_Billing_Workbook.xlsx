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Time Entry" sheetId="3" state="visible" r:id="rId5"/>
    <sheet name="Projects" sheetId="4" state="visible" r:id="rId6"/>
    <sheet name="Employees" sheetId="5" state="visible" r:id="rId7"/>
    <sheet name="Indirect Codes" sheetId="6" state="visible" r:id="rId8"/>
    <sheet name="Project Summary" sheetId="7" state="visible" r:id="rId9"/>
    <sheet name="Utilization" sheetId="8" state="visible" r:id="rId10"/>
    <sheet name="Invoices" sheetId="9" state="visible" r:id="rId11"/>
    <sheet name="Lists" sheetId="10" state="hidden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<sst xmlns="http://schemas.openxmlformats.org/spreadsheetml/2006/main" count="180" uniqueCount="152">
  <si>
    <t xml:space="preserve">Brooks Stevens — Interim Time, Billing &amp; Financials Workbook</t>
  </si>
  <si>
    <t xml:space="preserve">Ajera bridge workbook — start capturing time and billing today while the permanent system is selected.</t>
  </si>
  <si>
    <t xml:space="preserve">How to use this workbook</t>
  </si>
  <si>
    <t xml:space="preserve">1.  Fill in the three yellow SETUP tabs first: Employees, Projects, Indirect Codes.</t>
  </si>
  <si>
    <t xml:space="preserve">2.  Everyone logs hours on the TIME ENTRY tab — one row per project/task per day.</t>
  </si>
  <si>
    <t xml:space="preserve">3.  The blue REPORT tabs (Project Summary, Utilization, Dashboard) update automatically.</t>
  </si>
  <si>
    <t xml:space="preserve">4.  Raise invoices on the INVOICES tab; unbilled $ per project is calculated for you.</t>
  </si>
  <si>
    <t xml:space="preserve">Legend</t>
  </si>
  <si>
    <t xml:space="preserve">YELLOW cells  = you type here (setup + time entry).</t>
  </si>
  <si>
    <t xml:space="preserve">WHITE/grey cells with formulas = calculated automatically — do not overtype.</t>
  </si>
  <si>
    <t xml:space="preserve">Dropdowns pull from the setup tabs, so set those up before entering time.</t>
  </si>
  <si>
    <t xml:space="preserve">What this covers vs. Ajera</t>
  </si>
  <si>
    <t xml:space="preserve">Covers now: project time, indirect/overhead time, utilization, billing, WIP, basic P&amp;L view.</t>
  </si>
  <si>
    <t xml:space="preserve">Not covered here: full general ledger, AP, payroll — see the migration plan document.</t>
  </si>
  <si>
    <t xml:space="preserve">Data is structured to map cleanly into BQE Core / QuickBooks when you cut over.</t>
  </si>
  <si>
    <t xml:space="preserve">Important</t>
  </si>
  <si>
    <t xml:space="preserve">This is an interim bridge, not your system of record for the GL.</t>
  </si>
  <si>
    <t xml:space="preserve">Keep a dated backup copy each week (File &gt; Save As).</t>
  </si>
  <si>
    <t xml:space="preserve">Your Ajera history lives in encrypted Deltek backups — recover it via Deltek Support (see plan).</t>
  </si>
  <si>
    <t xml:space="preserve">Prepared for Brooks Stevens Inc.  •  Michael Hopkins  •  Interim workbook v1</t>
  </si>
  <si>
    <t xml:space="preserve">Firm Dashboard — live snapshot</t>
  </si>
  <si>
    <t xml:space="preserve">Total Billable $ (all projects)</t>
  </si>
  <si>
    <t xml:space="preserve">Total Hours Logged</t>
  </si>
  <si>
    <t xml:space="preserve">Total Cost $</t>
  </si>
  <si>
    <t xml:space="preserve">Billable Hours</t>
  </si>
  <si>
    <t xml:space="preserve">Gross Margin $</t>
  </si>
  <si>
    <t xml:space="preserve">Indirect Hours</t>
  </si>
  <si>
    <t xml:space="preserve">Gross Margin %</t>
  </si>
  <si>
    <t xml:space="preserve">Firm Utilization %</t>
  </si>
  <si>
    <t xml:space="preserve">Total Invoiced $</t>
  </si>
  <si>
    <t xml:space="preserve">Active Projects</t>
  </si>
  <si>
    <t xml:space="preserve">WIP (Unbilled) $</t>
  </si>
  <si>
    <t xml:space="preserve">Active Employees</t>
  </si>
  <si>
    <t xml:space="preserve">Numbers populate automatically as setup tabs and Time Entry are filled in.</t>
  </si>
  <si>
    <t xml:space="preserve">Time Entry</t>
  </si>
  <si>
    <t xml:space="preserve">One row per person, per charge, per day. Yellow = you enter. White = auto. Pick Employee and Project/Code from the dropdowns.</t>
  </si>
  <si>
    <t xml:space="preserve">Date</t>
  </si>
  <si>
    <t xml:space="preserve">Week Ending</t>
  </si>
  <si>
    <t xml:space="preserve">Employee</t>
  </si>
  <si>
    <t xml:space="preserve">Charge Type</t>
  </si>
  <si>
    <t xml:space="preserve">Project / Code</t>
  </si>
  <si>
    <t xml:space="preserve">Phase</t>
  </si>
  <si>
    <t xml:space="preserve">Hours</t>
  </si>
  <si>
    <t xml:space="preserve">Billable?</t>
  </si>
  <si>
    <t xml:space="preserve">Bill Rate</t>
  </si>
  <si>
    <t xml:space="preserve">Billable $</t>
  </si>
  <si>
    <t xml:space="preserve">Cost $</t>
  </si>
  <si>
    <t xml:space="preserve">Notes</t>
  </si>
  <si>
    <t xml:space="preserve">2026-08-04</t>
  </si>
  <si>
    <t xml:space="preserve">Jane Designer</t>
  </si>
  <si>
    <t xml:space="preserve">Project</t>
  </si>
  <si>
    <t xml:space="preserve">Handlebar Control Module Redesign</t>
  </si>
  <si>
    <t xml:space="preserve">Concept</t>
  </si>
  <si>
    <t xml:space="preserve">Concept sketches + DFM review</t>
  </si>
  <si>
    <t xml:space="preserve">Projects</t>
  </si>
  <si>
    <t xml:space="preserve">One row per active project/phase. Type drives billing behavior. Contract Fee is the total not-to-exceed or fixed fee.</t>
  </si>
  <si>
    <t xml:space="preserve">Project #</t>
  </si>
  <si>
    <t xml:space="preserve">Client</t>
  </si>
  <si>
    <t xml:space="preserve">Project Name</t>
  </si>
  <si>
    <t xml:space="preserve">Type</t>
  </si>
  <si>
    <t xml:space="preserve">Status</t>
  </si>
  <si>
    <t xml:space="preserve">Contract Fee ($)</t>
  </si>
  <si>
    <t xml:space="preserve">Start Date</t>
  </si>
  <si>
    <t xml:space="preserve">Project Manager</t>
  </si>
  <si>
    <t xml:space="preserve">25-014</t>
  </si>
  <si>
    <t xml:space="preserve">Acme Powersports</t>
  </si>
  <si>
    <t xml:space="preserve">Time &amp; Materials</t>
  </si>
  <si>
    <t xml:space="preserve">Active</t>
  </si>
  <si>
    <t xml:space="preserve">M. Hopkins</t>
  </si>
  <si>
    <t xml:space="preserve">↑ Add one row per project (or per phase if you bill by phase). Row 4 is an example.</t>
  </si>
  <si>
    <t xml:space="preserve">Employees</t>
  </si>
  <si>
    <t xml:space="preserve">Fill the yellow cells. Bill Rate = default charge-out rate; Cost Rate = loaded hourly cost (salary+benefits)/2080.</t>
  </si>
  <si>
    <t xml:space="preserve">Emp ID</t>
  </si>
  <si>
    <t xml:space="preserve">Employee Name</t>
  </si>
  <si>
    <t xml:space="preserve">Role / Title</t>
  </si>
  <si>
    <t xml:space="preserve">Bill Rate ($/hr)</t>
  </si>
  <si>
    <t xml:space="preserve">Cost Rate ($/hr)</t>
  </si>
  <si>
    <t xml:space="preserve">Target Util %</t>
  </si>
  <si>
    <t xml:space="preserve">E001</t>
  </si>
  <si>
    <t xml:space="preserve">Senior Industrial Designer</t>
  </si>
  <si>
    <t xml:space="preserve">↑ Add one row per employee. Row 4 is a greyed example — overwrite it.</t>
  </si>
  <si>
    <t xml:space="preserve">Indirect Codes</t>
  </si>
  <si>
    <t xml:space="preserve">Non-billable time buckets (overhead). Everyone charges here when not on a billable project.</t>
  </si>
  <si>
    <t xml:space="preserve">Code</t>
  </si>
  <si>
    <t xml:space="preserve">Category</t>
  </si>
  <si>
    <t xml:space="preserve">Description</t>
  </si>
  <si>
    <t xml:space="preserve">OH-ADMIN</t>
  </si>
  <si>
    <t xml:space="preserve">Overhead</t>
  </si>
  <si>
    <t xml:space="preserve">General administration / operations</t>
  </si>
  <si>
    <t xml:space="preserve">OH-BD</t>
  </si>
  <si>
    <t xml:space="preserve">Business Dev</t>
  </si>
  <si>
    <t xml:space="preserve">Proposals, marketing, sales pursuits</t>
  </si>
  <si>
    <t xml:space="preserve">OH-PTO</t>
  </si>
  <si>
    <t xml:space="preserve">Paid Time Off</t>
  </si>
  <si>
    <t xml:space="preserve">Vacation</t>
  </si>
  <si>
    <t xml:space="preserve">OH-HOL</t>
  </si>
  <si>
    <t xml:space="preserve">Holiday</t>
  </si>
  <si>
    <t xml:space="preserve">Company holidays</t>
  </si>
  <si>
    <t xml:space="preserve">OH-SICK</t>
  </si>
  <si>
    <t xml:space="preserve">Sick</t>
  </si>
  <si>
    <t xml:space="preserve">Sick leave</t>
  </si>
  <si>
    <t xml:space="preserve">OH-TRAIN</t>
  </si>
  <si>
    <t xml:space="preserve">Training</t>
  </si>
  <si>
    <t xml:space="preserve">Professional development / training</t>
  </si>
  <si>
    <t xml:space="preserve">OH-MTG</t>
  </si>
  <si>
    <t xml:space="preserve">Internal meetings / company-wide</t>
  </si>
  <si>
    <t xml:space="preserve">OH-IT</t>
  </si>
  <si>
    <t xml:space="preserve">IT, facilities, equipment maintenance</t>
  </si>
  <si>
    <t xml:space="preserve">OH-RND</t>
  </si>
  <si>
    <t xml:space="preserve">R&amp;D</t>
  </si>
  <si>
    <t xml:space="preserve">Internal / self-directed research</t>
  </si>
  <si>
    <t xml:space="preserve">↑ Pre-filled with common buckets — edit to match your chart of overhead codes.</t>
  </si>
  <si>
    <t xml:space="preserve">Project Summary</t>
  </si>
  <si>
    <t xml:space="preserve">Auto-calculated from Time Entry and Invoices. WIP = billable value earned but not yet invoiced.</t>
  </si>
  <si>
    <t xml:space="preserve">Contract Fee</t>
  </si>
  <si>
    <t xml:space="preserve">Margin $</t>
  </si>
  <si>
    <t xml:space="preserve">Invoiced $</t>
  </si>
  <si>
    <t xml:space="preserve">% Fee Used</t>
  </si>
  <si>
    <t xml:space="preserve">TOTAL</t>
  </si>
  <si>
    <t xml:space="preserve">Utilization</t>
  </si>
  <si>
    <t xml:space="preserve">Billable vs total hours by person. Utilization = billable hours / total hours. Compare to each person's target.</t>
  </si>
  <si>
    <t xml:space="preserve">Total Hours</t>
  </si>
  <si>
    <t xml:space="preserve">Utilization %</t>
  </si>
  <si>
    <t xml:space="preserve">Target %</t>
  </si>
  <si>
    <t xml:space="preserve">TOTAL / AVG</t>
  </si>
  <si>
    <t xml:space="preserve">Invoices</t>
  </si>
  <si>
    <t xml:space="preserve">Register of invoices raised. Pick the Project to see its unbilled WIP on the right, then enter the invoice amount.</t>
  </si>
  <si>
    <t xml:space="preserve">Invoice #</t>
  </si>
  <si>
    <t xml:space="preserve">Period / Description</t>
  </si>
  <si>
    <t xml:space="preserve">Amount ($)</t>
  </si>
  <si>
    <t xml:space="preserve">Paid Date</t>
  </si>
  <si>
    <t xml:space="preserve">Paid?</t>
  </si>
  <si>
    <t xml:space="preserve">Unbilled WIP for Project ($)</t>
  </si>
  <si>
    <t xml:space="preserve">INV-1001</t>
  </si>
  <si>
    <t xml:space="preserve">2026-08-31</t>
  </si>
  <si>
    <t xml:space="preserve">Aug 2026 — T&amp;M</t>
  </si>
  <si>
    <t xml:space="preserve">Draft</t>
  </si>
  <si>
    <t xml:space="preserve">TOTAL INVOICED</t>
  </si>
  <si>
    <t xml:space="preserve">ChargeName</t>
  </si>
  <si>
    <t xml:space="preserve">ChargeType</t>
  </si>
  <si>
    <t xml:space="preserve">Billable</t>
  </si>
  <si>
    <t xml:space="preserve">ChargeTypeList</t>
  </si>
  <si>
    <t xml:space="preserve">InvStatus</t>
  </si>
  <si>
    <t xml:space="preserve">PrjType</t>
  </si>
  <si>
    <t xml:space="preserve">Indirect</t>
  </si>
  <si>
    <t xml:space="preserve">Sent</t>
  </si>
  <si>
    <t xml:space="preserve">Fixed Fee</t>
  </si>
  <si>
    <t xml:space="preserve">Paid</t>
  </si>
  <si>
    <t xml:space="preserve">Cost Plus</t>
  </si>
  <si>
    <t xml:space="preserve">Void</t>
  </si>
  <si>
    <t xml:space="preserve">Hourly Not-to-Exceed</t>
  </si>
  <si>
    <t xml:space="preserve">Internal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</si>
</sst>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0;\(0.00\);\-"/>
    <numFmt numFmtId="167" formatCode="0.0%"/>
    <numFmt numFmtId="168" formatCode="0"/>
    <numFmt numFmtId="169" formatCode="mm/dd/yyyy"/>
    <numFmt numFmtId="170" formatCode="\$#,##0.00;&quot;($&quot;#,##0.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6262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AF0FA"/>
      </patternFill>
    </fill>
    <fill>
      <patternFill patternType="solid">
        <fgColor rgb="FF2E5496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EAF0FA"/>
      </patternFill>
    </fill>
    <fill>
      <patternFill patternType="solid">
        <fgColor rgb="FFFFFFFF"/>
        <bgColor rgb="FFF2F2F2"/>
      </patternFill>
    </fill>
    <fill>
      <patternFill patternType="solid">
        <fgColor rgb="FFEAF0F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496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56"/>
    <col collapsed="false" customWidth="true" hidden="false" outlineLevel="0" max="4" min="4" style="0" width="2"/>
  </cols>
  <sheetData>
    <row r="2" customFormat="false" ht="18.5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  <c r="C5" s="3"/>
    </row>
    <row r="6" customFormat="false" ht="15.75" hidden="false" customHeight="true" outlineLevel="0" collapsed="false">
      <c r="B6" s="4" t="s">
        <v>3</v>
      </c>
      <c r="C6" s="4"/>
    </row>
    <row r="7" customFormat="false" ht="15.75" hidden="false" customHeight="true" outlineLevel="0" collapsed="false">
      <c r="B7" s="4" t="s">
        <v>4</v>
      </c>
      <c r="C7" s="4"/>
    </row>
    <row r="8" customFormat="false" ht="15.75" hidden="false" customHeight="true" outlineLevel="0" collapsed="false">
      <c r="B8" s="4" t="s">
        <v>5</v>
      </c>
      <c r="C8" s="4"/>
    </row>
    <row r="9" customFormat="false" ht="15.75" hidden="false" customHeight="true" outlineLevel="0" collapsed="false">
      <c r="B9" s="4" t="s">
        <v>6</v>
      </c>
      <c r="C9" s="4"/>
    </row>
    <row r="11" customFormat="false" ht="19.5" hidden="false" customHeight="true" outlineLevel="0" collapsed="false">
      <c r="B11" s="5" t="s">
        <v>7</v>
      </c>
      <c r="C11" s="5"/>
    </row>
    <row r="12" customFormat="false" ht="15.75" hidden="false" customHeight="true" outlineLevel="0" collapsed="false">
      <c r="B12" s="4" t="s">
        <v>8</v>
      </c>
      <c r="C12" s="4"/>
    </row>
    <row r="13" customFormat="false" ht="15.75" hidden="false" customHeight="true" outlineLevel="0" collapsed="false">
      <c r="B13" s="4" t="s">
        <v>9</v>
      </c>
      <c r="C13" s="4"/>
    </row>
    <row r="14" customFormat="false" ht="15.75" hidden="false" customHeight="true" outlineLevel="0" collapsed="false">
      <c r="B14" s="4" t="s">
        <v>10</v>
      </c>
      <c r="C14" s="4"/>
    </row>
    <row r="16" customFormat="false" ht="19.5" hidden="false" customHeight="true" outlineLevel="0" collapsed="false">
      <c r="B16" s="5" t="s">
        <v>11</v>
      </c>
      <c r="C16" s="5"/>
    </row>
    <row r="17" customFormat="false" ht="15.75" hidden="false" customHeight="true" outlineLevel="0" collapsed="false">
      <c r="B17" s="4" t="s">
        <v>12</v>
      </c>
      <c r="C17" s="4"/>
    </row>
    <row r="18" customFormat="false" ht="15.75" hidden="false" customHeight="true" outlineLevel="0" collapsed="false">
      <c r="B18" s="4" t="s">
        <v>13</v>
      </c>
      <c r="C18" s="4"/>
    </row>
    <row r="19" customFormat="false" ht="15.75" hidden="false" customHeight="true" outlineLevel="0" collapsed="false">
      <c r="B19" s="4" t="s">
        <v>14</v>
      </c>
      <c r="C19" s="4"/>
    </row>
    <row r="21" customFormat="false" ht="19.5" hidden="false" customHeight="true" outlineLevel="0" collapsed="false">
      <c r="B21" s="6" t="s">
        <v>15</v>
      </c>
      <c r="C21" s="6"/>
    </row>
    <row r="22" customFormat="false" ht="15.75" hidden="false" customHeight="true" outlineLevel="0" collapsed="false">
      <c r="B22" s="4" t="s">
        <v>16</v>
      </c>
      <c r="C22" s="4"/>
    </row>
    <row r="23" customFormat="false" ht="15.75" hidden="false" customHeight="true" outlineLevel="0" collapsed="false">
      <c r="B23" s="4" t="s">
        <v>17</v>
      </c>
      <c r="C23" s="4"/>
    </row>
    <row r="24" customFormat="false" ht="15.75" hidden="false" customHeight="true" outlineLevel="0" collapsed="false">
      <c r="B24" s="4" t="s">
        <v>18</v>
      </c>
      <c r="C24" s="4"/>
    </row>
    <row r="26" customFormat="false" ht="15" hidden="false" customHeight="false" outlineLevel="0" collapsed="false">
      <c r="B26" s="7" t="s">
        <v>19</v>
      </c>
    </row>
  </sheetData>
  <mergeCells count="19">
    <mergeCell ref="B2:C2"/>
    <mergeCell ref="B3:C3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6:C16"/>
    <mergeCell ref="B17:C17"/>
    <mergeCell ref="B18:C18"/>
    <mergeCell ref="B19:C19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8" t="s">
        <v>20</v>
      </c>
      <c r="C2" s="8"/>
      <c r="D2" s="8"/>
      <c r="E2" s="8"/>
      <c r="F2" s="8"/>
    </row>
    <row r="4" customFormat="false" ht="24" hidden="false" customHeight="true" outlineLevel="0" collapsed="false">
      <c r="B4" s="9" t="s">
        <v>21</v>
      </c>
      <c r="C4" s="10" t="n">
        <f aca="false">'Project Summary'!$F$64</f>
        <v>942.5</v>
      </c>
      <c r="E4" s="9" t="s">
        <v>22</v>
      </c>
      <c r="F4" s="11" t="n">
        <f aca="false">Utilization!$B$44</f>
        <v>6.5</v>
      </c>
    </row>
    <row r="5" customFormat="false" ht="24" hidden="false" customHeight="true" outlineLevel="0" collapsed="false">
      <c r="B5" s="9" t="s">
        <v>23</v>
      </c>
      <c r="C5" s="10" t="n">
        <f aca="false">'Project Summary'!$G$64</f>
        <v>442</v>
      </c>
      <c r="E5" s="9" t="s">
        <v>24</v>
      </c>
      <c r="F5" s="11" t="n">
        <f aca="false">Utilization!$C$44</f>
        <v>6.5</v>
      </c>
    </row>
    <row r="6" customFormat="false" ht="24" hidden="false" customHeight="true" outlineLevel="0" collapsed="false">
      <c r="B6" s="9" t="s">
        <v>25</v>
      </c>
      <c r="C6" s="10" t="n">
        <f aca="false">'Project Summary'!$H$64</f>
        <v>500.5</v>
      </c>
      <c r="E6" s="9" t="s">
        <v>26</v>
      </c>
      <c r="F6" s="11" t="n">
        <f aca="false">Utilization!$D$44</f>
        <v>0</v>
      </c>
    </row>
    <row r="7" customFormat="false" ht="24" hidden="false" customHeight="true" outlineLevel="0" collapsed="false">
      <c r="B7" s="9" t="s">
        <v>27</v>
      </c>
      <c r="C7" s="12" t="n">
        <f aca="false">IF('Project Summary'!$F$64=0,"",'Project Summary'!$H$64/'Project Summary'!$F$64)</f>
        <v>0.531034482758621</v>
      </c>
      <c r="E7" s="9" t="s">
        <v>28</v>
      </c>
      <c r="F7" s="12" t="n">
        <f aca="false">Utilization!$E$44</f>
        <v>1</v>
      </c>
    </row>
    <row r="8" customFormat="false" ht="24" hidden="false" customHeight="true" outlineLevel="0" collapsed="false">
      <c r="B8" s="9" t="s">
        <v>29</v>
      </c>
      <c r="C8" s="10" t="n">
        <f aca="false">Invoices!$G$204</f>
        <v>900</v>
      </c>
      <c r="E8" s="9" t="s">
        <v>30</v>
      </c>
      <c r="F8" s="13" t="n">
        <f aca="false">COUNTIF(Projects!$C$4:$C$63,"?*")</f>
        <v>1</v>
      </c>
    </row>
    <row r="9" customFormat="false" ht="24" hidden="false" customHeight="true" outlineLevel="0" collapsed="false">
      <c r="B9" s="9" t="s">
        <v>31</v>
      </c>
      <c r="C9" s="10" t="n">
        <f aca="false">'Project Summary'!$J$64</f>
        <v>42.5</v>
      </c>
      <c r="E9" s="9" t="s">
        <v>32</v>
      </c>
      <c r="F9" s="13" t="n">
        <f aca="false">COUNTIF(Employees!$B$4:$B$43,"?*")</f>
        <v>1</v>
      </c>
    </row>
    <row r="11" customFormat="false" ht="15" hidden="false" customHeight="false" outlineLevel="0" collapsed="false">
      <c r="B11" s="14" t="s">
        <v>33</v>
      </c>
      <c r="C11" s="14"/>
      <c r="D11" s="14"/>
      <c r="E11" s="14"/>
      <c r="F11" s="14"/>
    </row>
  </sheetData>
  <mergeCells count="2">
    <mergeCell ref="B2:F2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.75" hidden="false" customHeight="true" outlineLevel="0" collapsed="false">
      <c r="A2" s="16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0" hidden="false" customHeight="true" outlineLevel="0" collapsed="false">
      <c r="A3" s="17" t="s">
        <v>36</v>
      </c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42</v>
      </c>
      <c r="H3" s="17" t="s">
        <v>43</v>
      </c>
      <c r="I3" s="17" t="s">
        <v>44</v>
      </c>
      <c r="J3" s="17" t="s">
        <v>45</v>
      </c>
      <c r="K3" s="17" t="s">
        <v>46</v>
      </c>
      <c r="L3" s="17" t="s">
        <v>47</v>
      </c>
    </row>
    <row r="4" customFormat="false" ht="15" hidden="false" customHeight="false" outlineLevel="0" collapsed="false">
      <c r="A4" s="18" t="s">
        <v>48</v>
      </c>
      <c r="B4" s="19" t="n">
        <f aca="false">IF(A4="","",A4+7-WEEKDAY(A4,1)+1)</f>
        <v>46243</v>
      </c>
      <c r="C4" s="20" t="s">
        <v>49</v>
      </c>
      <c r="D4" s="21" t="s">
        <v>50</v>
      </c>
      <c r="E4" s="20" t="s">
        <v>51</v>
      </c>
      <c r="F4" s="20" t="s">
        <v>52</v>
      </c>
      <c r="G4" s="22" t="n">
        <v>6.5</v>
      </c>
      <c r="H4" s="23" t="str">
        <f aca="false">IF(E4="","",IFERROR(INDEX(Lists!$C$2:$C$86,MATCH(E4,Lists!$A$2:$A$86,0)),"?"))</f>
        <v>Yes</v>
      </c>
      <c r="I4" s="24" t="n">
        <f aca="false">IF(OR(C4="",E4=""),"",IF(H4="Yes",IFERROR(INDEX(Employees!$E$4:$E$43,MATCH(C4,Employees!$B$4:$B$43,0)),0),0))</f>
        <v>145</v>
      </c>
      <c r="J4" s="25" t="n">
        <f aca="false">IF(G4="","",IF(H4="Yes",G4*I4,0))</f>
        <v>942.5</v>
      </c>
      <c r="K4" s="25" t="n">
        <f aca="false">IF(OR(C4="",G4=""),"",G4*IFERROR(INDEX(Employees!$F$4:$F$43,MATCH(C4,Employees!$B$4:$B$43,0)),0))</f>
        <v>442</v>
      </c>
      <c r="L4" s="20" t="s">
        <v>53</v>
      </c>
    </row>
    <row r="5" customFormat="false" ht="15" hidden="false" customHeight="false" outlineLevel="0" collapsed="false">
      <c r="A5" s="26"/>
      <c r="B5" s="27" t="str">
        <f aca="false">IF(A5="","",A5+7-WEEKDAY(A5,1)+1)</f>
        <v/>
      </c>
      <c r="C5" s="28"/>
      <c r="D5" s="29"/>
      <c r="E5" s="28"/>
      <c r="F5" s="28"/>
      <c r="G5" s="30"/>
      <c r="H5" s="31" t="str">
        <f aca="false">IF(E5="","",IFERROR(INDEX(Lists!$C$2:$C$86,MATCH(E5,Lists!$A$2:$A$86,0)),"?"))</f>
        <v/>
      </c>
      <c r="I5" s="32" t="str">
        <f aca="false">IF(OR(C5="",E5=""),"",IF(H5="Yes",IFERROR(INDEX(Employees!$E$4:$E$43,MATCH(C5,Employees!$B$4:$B$43,0)),0),0))</f>
        <v/>
      </c>
      <c r="J5" s="33" t="str">
        <f aca="false">IF(G5="","",IF(H5="Yes",G5*I5,0))</f>
        <v/>
      </c>
      <c r="K5" s="33" t="str">
        <f aca="false">IF(OR(C5="",G5=""),"",G5*IFERROR(INDEX(Employees!$F$4:$F$43,MATCH(C5,Employees!$B$4:$B$43,0)),0))</f>
        <v/>
      </c>
      <c r="L5" s="28"/>
    </row>
    <row r="6" customFormat="false" ht="15" hidden="false" customHeight="false" outlineLevel="0" collapsed="false">
      <c r="A6" s="26"/>
      <c r="B6" s="19" t="str">
        <f aca="false">IF(A6="","",A6+7-WEEKDAY(A6,1)+1)</f>
        <v/>
      </c>
      <c r="C6" s="28"/>
      <c r="D6" s="29"/>
      <c r="E6" s="28"/>
      <c r="F6" s="28"/>
      <c r="G6" s="30"/>
      <c r="H6" s="23" t="str">
        <f aca="false">IF(E6="","",IFERROR(INDEX(Lists!$C$2:$C$86,MATCH(E6,Lists!$A$2:$A$86,0)),"?"))</f>
        <v/>
      </c>
      <c r="I6" s="24" t="str">
        <f aca="false">IF(OR(C6="",E6=""),"",IF(H6="Yes",IFERROR(INDEX(Employees!$E$4:$E$43,MATCH(C6,Employees!$B$4:$B$43,0)),0),0))</f>
        <v/>
      </c>
      <c r="J6" s="25" t="str">
        <f aca="false">IF(G6="","",IF(H6="Yes",G6*I6,0))</f>
        <v/>
      </c>
      <c r="K6" s="25" t="str">
        <f aca="false">IF(OR(C6="",G6=""),"",G6*IFERROR(INDEX(Employees!$F$4:$F$43,MATCH(C6,Employees!$B$4:$B$43,0)),0))</f>
        <v/>
      </c>
      <c r="L6" s="28"/>
    </row>
    <row r="7" customFormat="false" ht="15" hidden="false" customHeight="false" outlineLevel="0" collapsed="false">
      <c r="A7" s="26"/>
      <c r="B7" s="27" t="str">
        <f aca="false">IF(A7="","",A7+7-WEEKDAY(A7,1)+1)</f>
        <v/>
      </c>
      <c r="C7" s="28"/>
      <c r="D7" s="29"/>
      <c r="E7" s="28"/>
      <c r="F7" s="28"/>
      <c r="G7" s="30"/>
      <c r="H7" s="31" t="str">
        <f aca="false">IF(E7="","",IFERROR(INDEX(Lists!$C$2:$C$86,MATCH(E7,Lists!$A$2:$A$86,0)),"?"))</f>
        <v/>
      </c>
      <c r="I7" s="32" t="str">
        <f aca="false">IF(OR(C7="",E7=""),"",IF(H7="Yes",IFERROR(INDEX(Employees!$E$4:$E$43,MATCH(C7,Employees!$B$4:$B$43,0)),0),0))</f>
        <v/>
      </c>
      <c r="J7" s="33" t="str">
        <f aca="false">IF(G7="","",IF(H7="Yes",G7*I7,0))</f>
        <v/>
      </c>
      <c r="K7" s="33" t="str">
        <f aca="false">IF(OR(C7="",G7=""),"",G7*IFERROR(INDEX(Employees!$F$4:$F$43,MATCH(C7,Employees!$B$4:$B$43,0)),0))</f>
        <v/>
      </c>
      <c r="L7" s="28"/>
    </row>
    <row r="8" customFormat="false" ht="15" hidden="false" customHeight="false" outlineLevel="0" collapsed="false">
      <c r="A8" s="26"/>
      <c r="B8" s="19" t="str">
        <f aca="false">IF(A8="","",A8+7-WEEKDAY(A8,1)+1)</f>
        <v/>
      </c>
      <c r="C8" s="28"/>
      <c r="D8" s="29"/>
      <c r="E8" s="28"/>
      <c r="F8" s="28"/>
      <c r="G8" s="30"/>
      <c r="H8" s="23" t="str">
        <f aca="false">IF(E8="","",IFERROR(INDEX(Lists!$C$2:$C$86,MATCH(E8,Lists!$A$2:$A$86,0)),"?"))</f>
        <v/>
      </c>
      <c r="I8" s="24" t="str">
        <f aca="false">IF(OR(C8="",E8=""),"",IF(H8="Yes",IFERROR(INDEX(Employees!$E$4:$E$43,MATCH(C8,Employees!$B$4:$B$43,0)),0),0))</f>
        <v/>
      </c>
      <c r="J8" s="25" t="str">
        <f aca="false">IF(G8="","",IF(H8="Yes",G8*I8,0))</f>
        <v/>
      </c>
      <c r="K8" s="25" t="str">
        <f aca="false">IF(OR(C8="",G8=""),"",G8*IFERROR(INDEX(Employees!$F$4:$F$43,MATCH(C8,Employees!$B$4:$B$43,0)),0))</f>
        <v/>
      </c>
      <c r="L8" s="28"/>
    </row>
    <row r="9" customFormat="false" ht="15" hidden="false" customHeight="false" outlineLevel="0" collapsed="false">
      <c r="A9" s="26"/>
      <c r="B9" s="27" t="str">
        <f aca="false">IF(A9="","",A9+7-WEEKDAY(A9,1)+1)</f>
        <v/>
      </c>
      <c r="C9" s="28"/>
      <c r="D9" s="29"/>
      <c r="E9" s="28"/>
      <c r="F9" s="28"/>
      <c r="G9" s="30"/>
      <c r="H9" s="31" t="str">
        <f aca="false">IF(E9="","",IFERROR(INDEX(Lists!$C$2:$C$86,MATCH(E9,Lists!$A$2:$A$86,0)),"?"))</f>
        <v/>
      </c>
      <c r="I9" s="32" t="str">
        <f aca="false">IF(OR(C9="",E9=""),"",IF(H9="Yes",IFERROR(INDEX(Employees!$E$4:$E$43,MATCH(C9,Employees!$B$4:$B$43,0)),0),0))</f>
        <v/>
      </c>
      <c r="J9" s="33" t="str">
        <f aca="false">IF(G9="","",IF(H9="Yes",G9*I9,0))</f>
        <v/>
      </c>
      <c r="K9" s="33" t="str">
        <f aca="false">IF(OR(C9="",G9=""),"",G9*IFERROR(INDEX(Employees!$F$4:$F$43,MATCH(C9,Employees!$B$4:$B$43,0)),0))</f>
        <v/>
      </c>
      <c r="L9" s="28"/>
    </row>
    <row r="10" customFormat="false" ht="15" hidden="false" customHeight="false" outlineLevel="0" collapsed="false">
      <c r="A10" s="26"/>
      <c r="B10" s="19" t="str">
        <f aca="false">IF(A10="","",A10+7-WEEKDAY(A10,1)+1)</f>
        <v/>
      </c>
      <c r="C10" s="28"/>
      <c r="D10" s="29"/>
      <c r="E10" s="28"/>
      <c r="F10" s="28"/>
      <c r="G10" s="30"/>
      <c r="H10" s="23" t="str">
        <f aca="false">IF(E10="","",IFERROR(INDEX(Lists!$C$2:$C$86,MATCH(E10,Lists!$A$2:$A$86,0)),"?"))</f>
        <v/>
      </c>
      <c r="I10" s="24" t="str">
        <f aca="false">IF(OR(C10="",E10=""),"",IF(H10="Yes",IFERROR(INDEX(Employees!$E$4:$E$43,MATCH(C10,Employees!$B$4:$B$43,0)),0),0))</f>
        <v/>
      </c>
      <c r="J10" s="25" t="str">
        <f aca="false">IF(G10="","",IF(H10="Yes",G10*I10,0))</f>
        <v/>
      </c>
      <c r="K10" s="25" t="str">
        <f aca="false">IF(OR(C10="",G10=""),"",G10*IFERROR(INDEX(Employees!$F$4:$F$43,MATCH(C10,Employees!$B$4:$B$43,0)),0))</f>
        <v/>
      </c>
      <c r="L10" s="28"/>
    </row>
    <row r="11" customFormat="false" ht="15" hidden="false" customHeight="false" outlineLevel="0" collapsed="false">
      <c r="A11" s="26"/>
      <c r="B11" s="27" t="str">
        <f aca="false">IF(A11="","",A11+7-WEEKDAY(A11,1)+1)</f>
        <v/>
      </c>
      <c r="C11" s="28"/>
      <c r="D11" s="29"/>
      <c r="E11" s="28"/>
      <c r="F11" s="28"/>
      <c r="G11" s="30"/>
      <c r="H11" s="31" t="str">
        <f aca="false">IF(E11="","",IFERROR(INDEX(Lists!$C$2:$C$86,MATCH(E11,Lists!$A$2:$A$86,0)),"?"))</f>
        <v/>
      </c>
      <c r="I11" s="32" t="str">
        <f aca="false">IF(OR(C11="",E11=""),"",IF(H11="Yes",IFERROR(INDEX(Employees!$E$4:$E$43,MATCH(C11,Employees!$B$4:$B$43,0)),0),0))</f>
        <v/>
      </c>
      <c r="J11" s="33" t="str">
        <f aca="false">IF(G11="","",IF(H11="Yes",G11*I11,0))</f>
        <v/>
      </c>
      <c r="K11" s="33" t="str">
        <f aca="false">IF(OR(C11="",G11=""),"",G11*IFERROR(INDEX(Employees!$F$4:$F$43,MATCH(C11,Employees!$B$4:$B$43,0)),0))</f>
        <v/>
      </c>
      <c r="L11" s="28"/>
    </row>
    <row r="12" customFormat="false" ht="15" hidden="false" customHeight="false" outlineLevel="0" collapsed="false">
      <c r="A12" s="26"/>
      <c r="B12" s="19" t="str">
        <f aca="false">IF(A12="","",A12+7-WEEKDAY(A12,1)+1)</f>
        <v/>
      </c>
      <c r="C12" s="28"/>
      <c r="D12" s="29"/>
      <c r="E12" s="28"/>
      <c r="F12" s="28"/>
      <c r="G12" s="30"/>
      <c r="H12" s="23" t="str">
        <f aca="false">IF(E12="","",IFERROR(INDEX(Lists!$C$2:$C$86,MATCH(E12,Lists!$A$2:$A$86,0)),"?"))</f>
        <v/>
      </c>
      <c r="I12" s="24" t="str">
        <f aca="false">IF(OR(C12="",E12=""),"",IF(H12="Yes",IFERROR(INDEX(Employees!$E$4:$E$43,MATCH(C12,Employees!$B$4:$B$43,0)),0),0))</f>
        <v/>
      </c>
      <c r="J12" s="25" t="str">
        <f aca="false">IF(G12="","",IF(H12="Yes",G12*I12,0))</f>
        <v/>
      </c>
      <c r="K12" s="25" t="str">
        <f aca="false">IF(OR(C12="",G12=""),"",G12*IFERROR(INDEX(Employees!$F$4:$F$43,MATCH(C12,Employees!$B$4:$B$43,0)),0))</f>
        <v/>
      </c>
      <c r="L12" s="28"/>
    </row>
    <row r="13" customFormat="false" ht="15" hidden="false" customHeight="false" outlineLevel="0" collapsed="false">
      <c r="A13" s="26"/>
      <c r="B13" s="27" t="str">
        <f aca="false">IF(A13="","",A13+7-WEEKDAY(A13,1)+1)</f>
        <v/>
      </c>
      <c r="C13" s="28"/>
      <c r="D13" s="29"/>
      <c r="E13" s="28"/>
      <c r="F13" s="28"/>
      <c r="G13" s="30"/>
      <c r="H13" s="31" t="str">
        <f aca="false">IF(E13="","",IFERROR(INDEX(Lists!$C$2:$C$86,MATCH(E13,Lists!$A$2:$A$86,0)),"?"))</f>
        <v/>
      </c>
      <c r="I13" s="32" t="str">
        <f aca="false">IF(OR(C13="",E13=""),"",IF(H13="Yes",IFERROR(INDEX(Employees!$E$4:$E$43,MATCH(C13,Employees!$B$4:$B$43,0)),0),0))</f>
        <v/>
      </c>
      <c r="J13" s="33" t="str">
        <f aca="false">IF(G13="","",IF(H13="Yes",G13*I13,0))</f>
        <v/>
      </c>
      <c r="K13" s="33" t="str">
        <f aca="false">IF(OR(C13="",G13=""),"",G13*IFERROR(INDEX(Employees!$F$4:$F$43,MATCH(C13,Employees!$B$4:$B$43,0)),0))</f>
        <v/>
      </c>
      <c r="L13" s="28"/>
    </row>
    <row r="14" customFormat="false" ht="15" hidden="false" customHeight="false" outlineLevel="0" collapsed="false">
      <c r="A14" s="26"/>
      <c r="B14" s="19" t="str">
        <f aca="false">IF(A14="","",A14+7-WEEKDAY(A14,1)+1)</f>
        <v/>
      </c>
      <c r="C14" s="28"/>
      <c r="D14" s="29"/>
      <c r="E14" s="28"/>
      <c r="F14" s="28"/>
      <c r="G14" s="30"/>
      <c r="H14" s="23" t="str">
        <f aca="false">IF(E14="","",IFERROR(INDEX(Lists!$C$2:$C$86,MATCH(E14,Lists!$A$2:$A$86,0)),"?"))</f>
        <v/>
      </c>
      <c r="I14" s="24" t="str">
        <f aca="false">IF(OR(C14="",E14=""),"",IF(H14="Yes",IFERROR(INDEX(Employees!$E$4:$E$43,MATCH(C14,Employees!$B$4:$B$43,0)),0),0))</f>
        <v/>
      </c>
      <c r="J14" s="25" t="str">
        <f aca="false">IF(G14="","",IF(H14="Yes",G14*I14,0))</f>
        <v/>
      </c>
      <c r="K14" s="25" t="str">
        <f aca="false">IF(OR(C14="",G14=""),"",G14*IFERROR(INDEX(Employees!$F$4:$F$43,MATCH(C14,Employees!$B$4:$B$43,0)),0))</f>
        <v/>
      </c>
      <c r="L14" s="28"/>
    </row>
    <row r="15" customFormat="false" ht="15" hidden="false" customHeight="false" outlineLevel="0" collapsed="false">
      <c r="A15" s="26"/>
      <c r="B15" s="27" t="str">
        <f aca="false">IF(A15="","",A15+7-WEEKDAY(A15,1)+1)</f>
        <v/>
      </c>
      <c r="C15" s="28"/>
      <c r="D15" s="29"/>
      <c r="E15" s="28"/>
      <c r="F15" s="28"/>
      <c r="G15" s="30"/>
      <c r="H15" s="31" t="str">
        <f aca="false">IF(E15="","",IFERROR(INDEX(Lists!$C$2:$C$86,MATCH(E15,Lists!$A$2:$A$86,0)),"?"))</f>
        <v/>
      </c>
      <c r="I15" s="32" t="str">
        <f aca="false">IF(OR(C15="",E15=""),"",IF(H15="Yes",IFERROR(INDEX(Employees!$E$4:$E$43,MATCH(C15,Employees!$B$4:$B$43,0)),0),0))</f>
        <v/>
      </c>
      <c r="J15" s="33" t="str">
        <f aca="false">IF(G15="","",IF(H15="Yes",G15*I15,0))</f>
        <v/>
      </c>
      <c r="K15" s="33" t="str">
        <f aca="false">IF(OR(C15="",G15=""),"",G15*IFERROR(INDEX(Employees!$F$4:$F$43,MATCH(C15,Employees!$B$4:$B$43,0)),0))</f>
        <v/>
      </c>
      <c r="L15" s="28"/>
    </row>
    <row r="16" customFormat="false" ht="15" hidden="false" customHeight="false" outlineLevel="0" collapsed="false">
      <c r="A16" s="26"/>
      <c r="B16" s="19" t="str">
        <f aca="false">IF(A16="","",A16+7-WEEKDAY(A16,1)+1)</f>
        <v/>
      </c>
      <c r="C16" s="28"/>
      <c r="D16" s="29"/>
      <c r="E16" s="28"/>
      <c r="F16" s="28"/>
      <c r="G16" s="30"/>
      <c r="H16" s="23" t="str">
        <f aca="false">IF(E16="","",IFERROR(INDEX(Lists!$C$2:$C$86,MATCH(E16,Lists!$A$2:$A$86,0)),"?"))</f>
        <v/>
      </c>
      <c r="I16" s="24" t="str">
        <f aca="false">IF(OR(C16="",E16=""),"",IF(H16="Yes",IFERROR(INDEX(Employees!$E$4:$E$43,MATCH(C16,Employees!$B$4:$B$43,0)),0),0))</f>
        <v/>
      </c>
      <c r="J16" s="25" t="str">
        <f aca="false">IF(G16="","",IF(H16="Yes",G16*I16,0))</f>
        <v/>
      </c>
      <c r="K16" s="25" t="str">
        <f aca="false">IF(OR(C16="",G16=""),"",G16*IFERROR(INDEX(Employees!$F$4:$F$43,MATCH(C16,Employees!$B$4:$B$43,0)),0))</f>
        <v/>
      </c>
      <c r="L16" s="28"/>
    </row>
    <row r="17" customFormat="false" ht="15" hidden="false" customHeight="false" outlineLevel="0" collapsed="false">
      <c r="A17" s="26"/>
      <c r="B17" s="27" t="str">
        <f aca="false">IF(A17="","",A17+7-WEEKDAY(A17,1)+1)</f>
        <v/>
      </c>
      <c r="C17" s="28"/>
      <c r="D17" s="29"/>
      <c r="E17" s="28"/>
      <c r="F17" s="28"/>
      <c r="G17" s="30"/>
      <c r="H17" s="31" t="str">
        <f aca="false">IF(E17="","",IFERROR(INDEX(Lists!$C$2:$C$86,MATCH(E17,Lists!$A$2:$A$86,0)),"?"))</f>
        <v/>
      </c>
      <c r="I17" s="32" t="str">
        <f aca="false">IF(OR(C17="",E17=""),"",IF(H17="Yes",IFERROR(INDEX(Employees!$E$4:$E$43,MATCH(C17,Employees!$B$4:$B$43,0)),0),0))</f>
        <v/>
      </c>
      <c r="J17" s="33" t="str">
        <f aca="false">IF(G17="","",IF(H17="Yes",G17*I17,0))</f>
        <v/>
      </c>
      <c r="K17" s="33" t="str">
        <f aca="false">IF(OR(C17="",G17=""),"",G17*IFERROR(INDEX(Employees!$F$4:$F$43,MATCH(C17,Employees!$B$4:$B$43,0)),0))</f>
        <v/>
      </c>
      <c r="L17" s="28"/>
    </row>
    <row r="18" customFormat="false" ht="15" hidden="false" customHeight="false" outlineLevel="0" collapsed="false">
      <c r="A18" s="26"/>
      <c r="B18" s="19" t="str">
        <f aca="false">IF(A18="","",A18+7-WEEKDAY(A18,1)+1)</f>
        <v/>
      </c>
      <c r="C18" s="28"/>
      <c r="D18" s="29"/>
      <c r="E18" s="28"/>
      <c r="F18" s="28"/>
      <c r="G18" s="30"/>
      <c r="H18" s="23" t="str">
        <f aca="false">IF(E18="","",IFERROR(INDEX(Lists!$C$2:$C$86,MATCH(E18,Lists!$A$2:$A$86,0)),"?"))</f>
        <v/>
      </c>
      <c r="I18" s="24" t="str">
        <f aca="false">IF(OR(C18="",E18=""),"",IF(H18="Yes",IFERROR(INDEX(Employees!$E$4:$E$43,MATCH(C18,Employees!$B$4:$B$43,0)),0),0))</f>
        <v/>
      </c>
      <c r="J18" s="25" t="str">
        <f aca="false">IF(G18="","",IF(H18="Yes",G18*I18,0))</f>
        <v/>
      </c>
      <c r="K18" s="25" t="str">
        <f aca="false">IF(OR(C18="",G18=""),"",G18*IFERROR(INDEX(Employees!$F$4:$F$43,MATCH(C18,Employees!$B$4:$B$43,0)),0))</f>
        <v/>
      </c>
      <c r="L18" s="28"/>
    </row>
    <row r="19" customFormat="false" ht="15" hidden="false" customHeight="false" outlineLevel="0" collapsed="false">
      <c r="A19" s="26"/>
      <c r="B19" s="27" t="str">
        <f aca="false">IF(A19="","",A19+7-WEEKDAY(A19,1)+1)</f>
        <v/>
      </c>
      <c r="C19" s="28"/>
      <c r="D19" s="29"/>
      <c r="E19" s="28"/>
      <c r="F19" s="28"/>
      <c r="G19" s="30"/>
      <c r="H19" s="31" t="str">
        <f aca="false">IF(E19="","",IFERROR(INDEX(Lists!$C$2:$C$86,MATCH(E19,Lists!$A$2:$A$86,0)),"?"))</f>
        <v/>
      </c>
      <c r="I19" s="32" t="str">
        <f aca="false">IF(OR(C19="",E19=""),"",IF(H19="Yes",IFERROR(INDEX(Employees!$E$4:$E$43,MATCH(C19,Employees!$B$4:$B$43,0)),0),0))</f>
        <v/>
      </c>
      <c r="J19" s="33" t="str">
        <f aca="false">IF(G19="","",IF(H19="Yes",G19*I19,0))</f>
        <v/>
      </c>
      <c r="K19" s="33" t="str">
        <f aca="false">IF(OR(C19="",G19=""),"",G19*IFERROR(INDEX(Employees!$F$4:$F$43,MATCH(C19,Employees!$B$4:$B$43,0)),0))</f>
        <v/>
      </c>
      <c r="L19" s="28"/>
    </row>
    <row r="20" customFormat="false" ht="15" hidden="false" customHeight="false" outlineLevel="0" collapsed="false">
      <c r="A20" s="26"/>
      <c r="B20" s="19" t="str">
        <f aca="false">IF(A20="","",A20+7-WEEKDAY(A20,1)+1)</f>
        <v/>
      </c>
      <c r="C20" s="28"/>
      <c r="D20" s="29"/>
      <c r="E20" s="28"/>
      <c r="F20" s="28"/>
      <c r="G20" s="30"/>
      <c r="H20" s="23" t="str">
        <f aca="false">IF(E20="","",IFERROR(INDEX(Lists!$C$2:$C$86,MATCH(E20,Lists!$A$2:$A$86,0)),"?"))</f>
        <v/>
      </c>
      <c r="I20" s="24" t="str">
        <f aca="false">IF(OR(C20="",E20=""),"",IF(H20="Yes",IFERROR(INDEX(Employees!$E$4:$E$43,MATCH(C20,Employees!$B$4:$B$43,0)),0),0))</f>
        <v/>
      </c>
      <c r="J20" s="25" t="str">
        <f aca="false">IF(G20="","",IF(H20="Yes",G20*I20,0))</f>
        <v/>
      </c>
      <c r="K20" s="25" t="str">
        <f aca="false">IF(OR(C20="",G20=""),"",G20*IFERROR(INDEX(Employees!$F$4:$F$43,MATCH(C20,Employees!$B$4:$B$43,0)),0))</f>
        <v/>
      </c>
      <c r="L20" s="28"/>
    </row>
    <row r="21" customFormat="false" ht="15" hidden="false" customHeight="false" outlineLevel="0" collapsed="false">
      <c r="A21" s="26"/>
      <c r="B21" s="27" t="str">
        <f aca="false">IF(A21="","",A21+7-WEEKDAY(A21,1)+1)</f>
        <v/>
      </c>
      <c r="C21" s="28"/>
      <c r="D21" s="29"/>
      <c r="E21" s="28"/>
      <c r="F21" s="28"/>
      <c r="G21" s="30"/>
      <c r="H21" s="31" t="str">
        <f aca="false">IF(E21="","",IFERROR(INDEX(Lists!$C$2:$C$86,MATCH(E21,Lists!$A$2:$A$86,0)),"?"))</f>
        <v/>
      </c>
      <c r="I21" s="32" t="str">
        <f aca="false">IF(OR(C21="",E21=""),"",IF(H21="Yes",IFERROR(INDEX(Employees!$E$4:$E$43,MATCH(C21,Employees!$B$4:$B$43,0)),0),0))</f>
        <v/>
      </c>
      <c r="J21" s="33" t="str">
        <f aca="false">IF(G21="","",IF(H21="Yes",G21*I21,0))</f>
        <v/>
      </c>
      <c r="K21" s="33" t="str">
        <f aca="false">IF(OR(C21="",G21=""),"",G21*IFERROR(INDEX(Employees!$F$4:$F$43,MATCH(C21,Employees!$B$4:$B$43,0)),0))</f>
        <v/>
      </c>
      <c r="L21" s="28"/>
    </row>
    <row r="22" customFormat="false" ht="15" hidden="false" customHeight="false" outlineLevel="0" collapsed="false">
      <c r="A22" s="26"/>
      <c r="B22" s="19" t="str">
        <f aca="false">IF(A22="","",A22+7-WEEKDAY(A22,1)+1)</f>
        <v/>
      </c>
      <c r="C22" s="28"/>
      <c r="D22" s="29"/>
      <c r="E22" s="28"/>
      <c r="F22" s="28"/>
      <c r="G22" s="30"/>
      <c r="H22" s="23" t="str">
        <f aca="false">IF(E22="","",IFERROR(INDEX(Lists!$C$2:$C$86,MATCH(E22,Lists!$A$2:$A$86,0)),"?"))</f>
        <v/>
      </c>
      <c r="I22" s="24" t="str">
        <f aca="false">IF(OR(C22="",E22=""),"",IF(H22="Yes",IFERROR(INDEX(Employees!$E$4:$E$43,MATCH(C22,Employees!$B$4:$B$43,0)),0),0))</f>
        <v/>
      </c>
      <c r="J22" s="25" t="str">
        <f aca="false">IF(G22="","",IF(H22="Yes",G22*I22,0))</f>
        <v/>
      </c>
      <c r="K22" s="25" t="str">
        <f aca="false">IF(OR(C22="",G22=""),"",G22*IFERROR(INDEX(Employees!$F$4:$F$43,MATCH(C22,Employees!$B$4:$B$43,0)),0))</f>
        <v/>
      </c>
      <c r="L22" s="28"/>
    </row>
    <row r="23" customFormat="false" ht="15" hidden="false" customHeight="false" outlineLevel="0" collapsed="false">
      <c r="A23" s="26"/>
      <c r="B23" s="27" t="str">
        <f aca="false">IF(A23="","",A23+7-WEEKDAY(A23,1)+1)</f>
        <v/>
      </c>
      <c r="C23" s="28"/>
      <c r="D23" s="29"/>
      <c r="E23" s="28"/>
      <c r="F23" s="28"/>
      <c r="G23" s="30"/>
      <c r="H23" s="31" t="str">
        <f aca="false">IF(E23="","",IFERROR(INDEX(Lists!$C$2:$C$86,MATCH(E23,Lists!$A$2:$A$86,0)),"?"))</f>
        <v/>
      </c>
      <c r="I23" s="32" t="str">
        <f aca="false">IF(OR(C23="",E23=""),"",IF(H23="Yes",IFERROR(INDEX(Employees!$E$4:$E$43,MATCH(C23,Employees!$B$4:$B$43,0)),0),0))</f>
        <v/>
      </c>
      <c r="J23" s="33" t="str">
        <f aca="false">IF(G23="","",IF(H23="Yes",G23*I23,0))</f>
        <v/>
      </c>
      <c r="K23" s="33" t="str">
        <f aca="false">IF(OR(C23="",G23=""),"",G23*IFERROR(INDEX(Employees!$F$4:$F$43,MATCH(C23,Employees!$B$4:$B$43,0)),0))</f>
        <v/>
      </c>
      <c r="L23" s="28"/>
    </row>
    <row r="24" customFormat="false" ht="15" hidden="false" customHeight="false" outlineLevel="0" collapsed="false">
      <c r="A24" s="26"/>
      <c r="B24" s="19" t="str">
        <f aca="false">IF(A24="","",A24+7-WEEKDAY(A24,1)+1)</f>
        <v/>
      </c>
      <c r="C24" s="28"/>
      <c r="D24" s="29"/>
      <c r="E24" s="28"/>
      <c r="F24" s="28"/>
      <c r="G24" s="30"/>
      <c r="H24" s="23" t="str">
        <f aca="false">IF(E24="","",IFERROR(INDEX(Lists!$C$2:$C$86,MATCH(E24,Lists!$A$2:$A$86,0)),"?"))</f>
        <v/>
      </c>
      <c r="I24" s="24" t="str">
        <f aca="false">IF(OR(C24="",E24=""),"",IF(H24="Yes",IFERROR(INDEX(Employees!$E$4:$E$43,MATCH(C24,Employees!$B$4:$B$43,0)),0),0))</f>
        <v/>
      </c>
      <c r="J24" s="25" t="str">
        <f aca="false">IF(G24="","",IF(H24="Yes",G24*I24,0))</f>
        <v/>
      </c>
      <c r="K24" s="25" t="str">
        <f aca="false">IF(OR(C24="",G24=""),"",G24*IFERROR(INDEX(Employees!$F$4:$F$43,MATCH(C24,Employees!$B$4:$B$43,0)),0))</f>
        <v/>
      </c>
      <c r="L24" s="28"/>
    </row>
    <row r="25" customFormat="false" ht="15" hidden="false" customHeight="false" outlineLevel="0" collapsed="false">
      <c r="A25" s="26"/>
      <c r="B25" s="27" t="str">
        <f aca="false">IF(A25="","",A25+7-WEEKDAY(A25,1)+1)</f>
        <v/>
      </c>
      <c r="C25" s="28"/>
      <c r="D25" s="29"/>
      <c r="E25" s="28"/>
      <c r="F25" s="28"/>
      <c r="G25" s="30"/>
      <c r="H25" s="31" t="str">
        <f aca="false">IF(E25="","",IFERROR(INDEX(Lists!$C$2:$C$86,MATCH(E25,Lists!$A$2:$A$86,0)),"?"))</f>
        <v/>
      </c>
      <c r="I25" s="32" t="str">
        <f aca="false">IF(OR(C25="",E25=""),"",IF(H25="Yes",IFERROR(INDEX(Employees!$E$4:$E$43,MATCH(C25,Employees!$B$4:$B$43,0)),0),0))</f>
        <v/>
      </c>
      <c r="J25" s="33" t="str">
        <f aca="false">IF(G25="","",IF(H25="Yes",G25*I25,0))</f>
        <v/>
      </c>
      <c r="K25" s="33" t="str">
        <f aca="false">IF(OR(C25="",G25=""),"",G25*IFERROR(INDEX(Employees!$F$4:$F$43,MATCH(C25,Employees!$B$4:$B$43,0)),0))</f>
        <v/>
      </c>
      <c r="L25" s="28"/>
    </row>
    <row r="26" customFormat="false" ht="15" hidden="false" customHeight="false" outlineLevel="0" collapsed="false">
      <c r="A26" s="26"/>
      <c r="B26" s="19" t="str">
        <f aca="false">IF(A26="","",A26+7-WEEKDAY(A26,1)+1)</f>
        <v/>
      </c>
      <c r="C26" s="28"/>
      <c r="D26" s="29"/>
      <c r="E26" s="28"/>
      <c r="F26" s="28"/>
      <c r="G26" s="30"/>
      <c r="H26" s="23" t="str">
        <f aca="false">IF(E26="","",IFERROR(INDEX(Lists!$C$2:$C$86,MATCH(E26,Lists!$A$2:$A$86,0)),"?"))</f>
        <v/>
      </c>
      <c r="I26" s="24" t="str">
        <f aca="false">IF(OR(C26="",E26=""),"",IF(H26="Yes",IFERROR(INDEX(Employees!$E$4:$E$43,MATCH(C26,Employees!$B$4:$B$43,0)),0),0))</f>
        <v/>
      </c>
      <c r="J26" s="25" t="str">
        <f aca="false">IF(G26="","",IF(H26="Yes",G26*I26,0))</f>
        <v/>
      </c>
      <c r="K26" s="25" t="str">
        <f aca="false">IF(OR(C26="",G26=""),"",G26*IFERROR(INDEX(Employees!$F$4:$F$43,MATCH(C26,Employees!$B$4:$B$43,0)),0))</f>
        <v/>
      </c>
      <c r="L26" s="28"/>
    </row>
    <row r="27" customFormat="false" ht="15" hidden="false" customHeight="false" outlineLevel="0" collapsed="false">
      <c r="A27" s="26"/>
      <c r="B27" s="27" t="str">
        <f aca="false">IF(A27="","",A27+7-WEEKDAY(A27,1)+1)</f>
        <v/>
      </c>
      <c r="C27" s="28"/>
      <c r="D27" s="29"/>
      <c r="E27" s="28"/>
      <c r="F27" s="28"/>
      <c r="G27" s="30"/>
      <c r="H27" s="31" t="str">
        <f aca="false">IF(E27="","",IFERROR(INDEX(Lists!$C$2:$C$86,MATCH(E27,Lists!$A$2:$A$86,0)),"?"))</f>
        <v/>
      </c>
      <c r="I27" s="32" t="str">
        <f aca="false">IF(OR(C27="",E27=""),"",IF(H27="Yes",IFERROR(INDEX(Employees!$E$4:$E$43,MATCH(C27,Employees!$B$4:$B$43,0)),0),0))</f>
        <v/>
      </c>
      <c r="J27" s="33" t="str">
        <f aca="false">IF(G27="","",IF(H27="Yes",G27*I27,0))</f>
        <v/>
      </c>
      <c r="K27" s="33" t="str">
        <f aca="false">IF(OR(C27="",G27=""),"",G27*IFERROR(INDEX(Employees!$F$4:$F$43,MATCH(C27,Employees!$B$4:$B$43,0)),0))</f>
        <v/>
      </c>
      <c r="L27" s="28"/>
    </row>
    <row r="28" customFormat="false" ht="15" hidden="false" customHeight="false" outlineLevel="0" collapsed="false">
      <c r="A28" s="26"/>
      <c r="B28" s="19" t="str">
        <f aca="false">IF(A28="","",A28+7-WEEKDAY(A28,1)+1)</f>
        <v/>
      </c>
      <c r="C28" s="28"/>
      <c r="D28" s="29"/>
      <c r="E28" s="28"/>
      <c r="F28" s="28"/>
      <c r="G28" s="30"/>
      <c r="H28" s="23" t="str">
        <f aca="false">IF(E28="","",IFERROR(INDEX(Lists!$C$2:$C$86,MATCH(E28,Lists!$A$2:$A$86,0)),"?"))</f>
        <v/>
      </c>
      <c r="I28" s="24" t="str">
        <f aca="false">IF(OR(C28="",E28=""),"",IF(H28="Yes",IFERROR(INDEX(Employees!$E$4:$E$43,MATCH(C28,Employees!$B$4:$B$43,0)),0),0))</f>
        <v/>
      </c>
      <c r="J28" s="25" t="str">
        <f aca="false">IF(G28="","",IF(H28="Yes",G28*I28,0))</f>
        <v/>
      </c>
      <c r="K28" s="25" t="str">
        <f aca="false">IF(OR(C28="",G28=""),"",G28*IFERROR(INDEX(Employees!$F$4:$F$43,MATCH(C28,Employees!$B$4:$B$43,0)),0))</f>
        <v/>
      </c>
      <c r="L28" s="28"/>
    </row>
    <row r="29" customFormat="false" ht="15" hidden="false" customHeight="false" outlineLevel="0" collapsed="false">
      <c r="A29" s="26"/>
      <c r="B29" s="27" t="str">
        <f aca="false">IF(A29="","",A29+7-WEEKDAY(A29,1)+1)</f>
        <v/>
      </c>
      <c r="C29" s="28"/>
      <c r="D29" s="29"/>
      <c r="E29" s="28"/>
      <c r="F29" s="28"/>
      <c r="G29" s="30"/>
      <c r="H29" s="31" t="str">
        <f aca="false">IF(E29="","",IFERROR(INDEX(Lists!$C$2:$C$86,MATCH(E29,Lists!$A$2:$A$86,0)),"?"))</f>
        <v/>
      </c>
      <c r="I29" s="32" t="str">
        <f aca="false">IF(OR(C29="",E29=""),"",IF(H29="Yes",IFERROR(INDEX(Employees!$E$4:$E$43,MATCH(C29,Employees!$B$4:$B$43,0)),0),0))</f>
        <v/>
      </c>
      <c r="J29" s="33" t="str">
        <f aca="false">IF(G29="","",IF(H29="Yes",G29*I29,0))</f>
        <v/>
      </c>
      <c r="K29" s="33" t="str">
        <f aca="false">IF(OR(C29="",G29=""),"",G29*IFERROR(INDEX(Employees!$F$4:$F$43,MATCH(C29,Employees!$B$4:$B$43,0)),0))</f>
        <v/>
      </c>
      <c r="L29" s="28"/>
    </row>
    <row r="30" customFormat="false" ht="15" hidden="false" customHeight="false" outlineLevel="0" collapsed="false">
      <c r="A30" s="26"/>
      <c r="B30" s="19" t="str">
        <f aca="false">IF(A30="","",A30+7-WEEKDAY(A30,1)+1)</f>
        <v/>
      </c>
      <c r="C30" s="28"/>
      <c r="D30" s="29"/>
      <c r="E30" s="28"/>
      <c r="F30" s="28"/>
      <c r="G30" s="30"/>
      <c r="H30" s="23" t="str">
        <f aca="false">IF(E30="","",IFERROR(INDEX(Lists!$C$2:$C$86,MATCH(E30,Lists!$A$2:$A$86,0)),"?"))</f>
        <v/>
      </c>
      <c r="I30" s="24" t="str">
        <f aca="false">IF(OR(C30="",E30=""),"",IF(H30="Yes",IFERROR(INDEX(Employees!$E$4:$E$43,MATCH(C30,Employees!$B$4:$B$43,0)),0),0))</f>
        <v/>
      </c>
      <c r="J30" s="25" t="str">
        <f aca="false">IF(G30="","",IF(H30="Yes",G30*I30,0))</f>
        <v/>
      </c>
      <c r="K30" s="25" t="str">
        <f aca="false">IF(OR(C30="",G30=""),"",G30*IFERROR(INDEX(Employees!$F$4:$F$43,MATCH(C30,Employees!$B$4:$B$43,0)),0))</f>
        <v/>
      </c>
      <c r="L30" s="28"/>
    </row>
    <row r="31" customFormat="false" ht="15" hidden="false" customHeight="false" outlineLevel="0" collapsed="false">
      <c r="A31" s="26"/>
      <c r="B31" s="27" t="str">
        <f aca="false">IF(A31="","",A31+7-WEEKDAY(A31,1)+1)</f>
        <v/>
      </c>
      <c r="C31" s="28"/>
      <c r="D31" s="29"/>
      <c r="E31" s="28"/>
      <c r="F31" s="28"/>
      <c r="G31" s="30"/>
      <c r="H31" s="31" t="str">
        <f aca="false">IF(E31="","",IFERROR(INDEX(Lists!$C$2:$C$86,MATCH(E31,Lists!$A$2:$A$86,0)),"?"))</f>
        <v/>
      </c>
      <c r="I31" s="32" t="str">
        <f aca="false">IF(OR(C31="",E31=""),"",IF(H31="Yes",IFERROR(INDEX(Employees!$E$4:$E$43,MATCH(C31,Employees!$B$4:$B$43,0)),0),0))</f>
        <v/>
      </c>
      <c r="J31" s="33" t="str">
        <f aca="false">IF(G31="","",IF(H31="Yes",G31*I31,0))</f>
        <v/>
      </c>
      <c r="K31" s="33" t="str">
        <f aca="false">IF(OR(C31="",G31=""),"",G31*IFERROR(INDEX(Employees!$F$4:$F$43,MATCH(C31,Employees!$B$4:$B$43,0)),0))</f>
        <v/>
      </c>
      <c r="L31" s="28"/>
    </row>
    <row r="32" customFormat="false" ht="15" hidden="false" customHeight="false" outlineLevel="0" collapsed="false">
      <c r="A32" s="26"/>
      <c r="B32" s="19" t="str">
        <f aca="false">IF(A32="","",A32+7-WEEKDAY(A32,1)+1)</f>
        <v/>
      </c>
      <c r="C32" s="28"/>
      <c r="D32" s="29"/>
      <c r="E32" s="28"/>
      <c r="F32" s="28"/>
      <c r="G32" s="30"/>
      <c r="H32" s="23" t="str">
        <f aca="false">IF(E32="","",IFERROR(INDEX(Lists!$C$2:$C$86,MATCH(E32,Lists!$A$2:$A$86,0)),"?"))</f>
        <v/>
      </c>
      <c r="I32" s="24" t="str">
        <f aca="false">IF(OR(C32="",E32=""),"",IF(H32="Yes",IFERROR(INDEX(Employees!$E$4:$E$43,MATCH(C32,Employees!$B$4:$B$43,0)),0),0))</f>
        <v/>
      </c>
      <c r="J32" s="25" t="str">
        <f aca="false">IF(G32="","",IF(H32="Yes",G32*I32,0))</f>
        <v/>
      </c>
      <c r="K32" s="25" t="str">
        <f aca="false">IF(OR(C32="",G32=""),"",G32*IFERROR(INDEX(Employees!$F$4:$F$43,MATCH(C32,Employees!$B$4:$B$43,0)),0))</f>
        <v/>
      </c>
      <c r="L32" s="28"/>
    </row>
    <row r="33" customFormat="false" ht="15" hidden="false" customHeight="false" outlineLevel="0" collapsed="false">
      <c r="A33" s="26"/>
      <c r="B33" s="27" t="str">
        <f aca="false">IF(A33="","",A33+7-WEEKDAY(A33,1)+1)</f>
        <v/>
      </c>
      <c r="C33" s="28"/>
      <c r="D33" s="29"/>
      <c r="E33" s="28"/>
      <c r="F33" s="28"/>
      <c r="G33" s="30"/>
      <c r="H33" s="31" t="str">
        <f aca="false">IF(E33="","",IFERROR(INDEX(Lists!$C$2:$C$86,MATCH(E33,Lists!$A$2:$A$86,0)),"?"))</f>
        <v/>
      </c>
      <c r="I33" s="32" t="str">
        <f aca="false">IF(OR(C33="",E33=""),"",IF(H33="Yes",IFERROR(INDEX(Employees!$E$4:$E$43,MATCH(C33,Employees!$B$4:$B$43,0)),0),0))</f>
        <v/>
      </c>
      <c r="J33" s="33" t="str">
        <f aca="false">IF(G33="","",IF(H33="Yes",G33*I33,0))</f>
        <v/>
      </c>
      <c r="K33" s="33" t="str">
        <f aca="false">IF(OR(C33="",G33=""),"",G33*IFERROR(INDEX(Employees!$F$4:$F$43,MATCH(C33,Employees!$B$4:$B$43,0)),0))</f>
        <v/>
      </c>
      <c r="L33" s="28"/>
    </row>
    <row r="34" customFormat="false" ht="15" hidden="false" customHeight="false" outlineLevel="0" collapsed="false">
      <c r="A34" s="26"/>
      <c r="B34" s="19" t="str">
        <f aca="false">IF(A34="","",A34+7-WEEKDAY(A34,1)+1)</f>
        <v/>
      </c>
      <c r="C34" s="28"/>
      <c r="D34" s="29"/>
      <c r="E34" s="28"/>
      <c r="F34" s="28"/>
      <c r="G34" s="30"/>
      <c r="H34" s="23" t="str">
        <f aca="false">IF(E34="","",IFERROR(INDEX(Lists!$C$2:$C$86,MATCH(E34,Lists!$A$2:$A$86,0)),"?"))</f>
        <v/>
      </c>
      <c r="I34" s="24" t="str">
        <f aca="false">IF(OR(C34="",E34=""),"",IF(H34="Yes",IFERROR(INDEX(Employees!$E$4:$E$43,MATCH(C34,Employees!$B$4:$B$43,0)),0),0))</f>
        <v/>
      </c>
      <c r="J34" s="25" t="str">
        <f aca="false">IF(G34="","",IF(H34="Yes",G34*I34,0))</f>
        <v/>
      </c>
      <c r="K34" s="25" t="str">
        <f aca="false">IF(OR(C34="",G34=""),"",G34*IFERROR(INDEX(Employees!$F$4:$F$43,MATCH(C34,Employees!$B$4:$B$43,0)),0))</f>
        <v/>
      </c>
      <c r="L34" s="28"/>
    </row>
    <row r="35" customFormat="false" ht="15" hidden="false" customHeight="false" outlineLevel="0" collapsed="false">
      <c r="A35" s="26"/>
      <c r="B35" s="27" t="str">
        <f aca="false">IF(A35="","",A35+7-WEEKDAY(A35,1)+1)</f>
        <v/>
      </c>
      <c r="C35" s="28"/>
      <c r="D35" s="29"/>
      <c r="E35" s="28"/>
      <c r="F35" s="28"/>
      <c r="G35" s="30"/>
      <c r="H35" s="31" t="str">
        <f aca="false">IF(E35="","",IFERROR(INDEX(Lists!$C$2:$C$86,MATCH(E35,Lists!$A$2:$A$86,0)),"?"))</f>
        <v/>
      </c>
      <c r="I35" s="32" t="str">
        <f aca="false">IF(OR(C35="",E35=""),"",IF(H35="Yes",IFERROR(INDEX(Employees!$E$4:$E$43,MATCH(C35,Employees!$B$4:$B$43,0)),0),0))</f>
        <v/>
      </c>
      <c r="J35" s="33" t="str">
        <f aca="false">IF(G35="","",IF(H35="Yes",G35*I35,0))</f>
        <v/>
      </c>
      <c r="K35" s="33" t="str">
        <f aca="false">IF(OR(C35="",G35=""),"",G35*IFERROR(INDEX(Employees!$F$4:$F$43,MATCH(C35,Employees!$B$4:$B$43,0)),0))</f>
        <v/>
      </c>
      <c r="L35" s="28"/>
    </row>
    <row r="36" customFormat="false" ht="15" hidden="false" customHeight="false" outlineLevel="0" collapsed="false">
      <c r="A36" s="26"/>
      <c r="B36" s="19" t="str">
        <f aca="false">IF(A36="","",A36+7-WEEKDAY(A36,1)+1)</f>
        <v/>
      </c>
      <c r="C36" s="28"/>
      <c r="D36" s="29"/>
      <c r="E36" s="28"/>
      <c r="F36" s="28"/>
      <c r="G36" s="30"/>
      <c r="H36" s="23" t="str">
        <f aca="false">IF(E36="","",IFERROR(INDEX(Lists!$C$2:$C$86,MATCH(E36,Lists!$A$2:$A$86,0)),"?"))</f>
        <v/>
      </c>
      <c r="I36" s="24" t="str">
        <f aca="false">IF(OR(C36="",E36=""),"",IF(H36="Yes",IFERROR(INDEX(Employees!$E$4:$E$43,MATCH(C36,Employees!$B$4:$B$43,0)),0),0))</f>
        <v/>
      </c>
      <c r="J36" s="25" t="str">
        <f aca="false">IF(G36="","",IF(H36="Yes",G36*I36,0))</f>
        <v/>
      </c>
      <c r="K36" s="25" t="str">
        <f aca="false">IF(OR(C36="",G36=""),"",G36*IFERROR(INDEX(Employees!$F$4:$F$43,MATCH(C36,Employees!$B$4:$B$43,0)),0))</f>
        <v/>
      </c>
      <c r="L36" s="28"/>
    </row>
    <row r="37" customFormat="false" ht="15" hidden="false" customHeight="false" outlineLevel="0" collapsed="false">
      <c r="A37" s="26"/>
      <c r="B37" s="27" t="str">
        <f aca="false">IF(A37="","",A37+7-WEEKDAY(A37,1)+1)</f>
        <v/>
      </c>
      <c r="C37" s="28"/>
      <c r="D37" s="29"/>
      <c r="E37" s="28"/>
      <c r="F37" s="28"/>
      <c r="G37" s="30"/>
      <c r="H37" s="31" t="str">
        <f aca="false">IF(E37="","",IFERROR(INDEX(Lists!$C$2:$C$86,MATCH(E37,Lists!$A$2:$A$86,0)),"?"))</f>
        <v/>
      </c>
      <c r="I37" s="32" t="str">
        <f aca="false">IF(OR(C37="",E37=""),"",IF(H37="Yes",IFERROR(INDEX(Employees!$E$4:$E$43,MATCH(C37,Employees!$B$4:$B$43,0)),0),0))</f>
        <v/>
      </c>
      <c r="J37" s="33" t="str">
        <f aca="false">IF(G37="","",IF(H37="Yes",G37*I37,0))</f>
        <v/>
      </c>
      <c r="K37" s="33" t="str">
        <f aca="false">IF(OR(C37="",G37=""),"",G37*IFERROR(INDEX(Employees!$F$4:$F$43,MATCH(C37,Employees!$B$4:$B$43,0)),0))</f>
        <v/>
      </c>
      <c r="L37" s="28"/>
    </row>
    <row r="38" customFormat="false" ht="15" hidden="false" customHeight="false" outlineLevel="0" collapsed="false">
      <c r="A38" s="26"/>
      <c r="B38" s="19" t="str">
        <f aca="false">IF(A38="","",A38+7-WEEKDAY(A38,1)+1)</f>
        <v/>
      </c>
      <c r="C38" s="28"/>
      <c r="D38" s="29"/>
      <c r="E38" s="28"/>
      <c r="F38" s="28"/>
      <c r="G38" s="30"/>
      <c r="H38" s="23" t="str">
        <f aca="false">IF(E38="","",IFERROR(INDEX(Lists!$C$2:$C$86,MATCH(E38,Lists!$A$2:$A$86,0)),"?"))</f>
        <v/>
      </c>
      <c r="I38" s="24" t="str">
        <f aca="false">IF(OR(C38="",E38=""),"",IF(H38="Yes",IFERROR(INDEX(Employees!$E$4:$E$43,MATCH(C38,Employees!$B$4:$B$43,0)),0),0))</f>
        <v/>
      </c>
      <c r="J38" s="25" t="str">
        <f aca="false">IF(G38="","",IF(H38="Yes",G38*I38,0))</f>
        <v/>
      </c>
      <c r="K38" s="25" t="str">
        <f aca="false">IF(OR(C38="",G38=""),"",G38*IFERROR(INDEX(Employees!$F$4:$F$43,MATCH(C38,Employees!$B$4:$B$43,0)),0))</f>
        <v/>
      </c>
      <c r="L38" s="28"/>
    </row>
    <row r="39" customFormat="false" ht="15" hidden="false" customHeight="false" outlineLevel="0" collapsed="false">
      <c r="A39" s="26"/>
      <c r="B39" s="27" t="str">
        <f aca="false">IF(A39="","",A39+7-WEEKDAY(A39,1)+1)</f>
        <v/>
      </c>
      <c r="C39" s="28"/>
      <c r="D39" s="29"/>
      <c r="E39" s="28"/>
      <c r="F39" s="28"/>
      <c r="G39" s="30"/>
      <c r="H39" s="31" t="str">
        <f aca="false">IF(E39="","",IFERROR(INDEX(Lists!$C$2:$C$86,MATCH(E39,Lists!$A$2:$A$86,0)),"?"))</f>
        <v/>
      </c>
      <c r="I39" s="32" t="str">
        <f aca="false">IF(OR(C39="",E39=""),"",IF(H39="Yes",IFERROR(INDEX(Employees!$E$4:$E$43,MATCH(C39,Employees!$B$4:$B$43,0)),0),0))</f>
        <v/>
      </c>
      <c r="J39" s="33" t="str">
        <f aca="false">IF(G39="","",IF(H39="Yes",G39*I39,0))</f>
        <v/>
      </c>
      <c r="K39" s="33" t="str">
        <f aca="false">IF(OR(C39="",G39=""),"",G39*IFERROR(INDEX(Employees!$F$4:$F$43,MATCH(C39,Employees!$B$4:$B$43,0)),0))</f>
        <v/>
      </c>
      <c r="L39" s="28"/>
    </row>
    <row r="40" customFormat="false" ht="15" hidden="false" customHeight="false" outlineLevel="0" collapsed="false">
      <c r="A40" s="26"/>
      <c r="B40" s="19" t="str">
        <f aca="false">IF(A40="","",A40+7-WEEKDAY(A40,1)+1)</f>
        <v/>
      </c>
      <c r="C40" s="28"/>
      <c r="D40" s="29"/>
      <c r="E40" s="28"/>
      <c r="F40" s="28"/>
      <c r="G40" s="30"/>
      <c r="H40" s="23" t="str">
        <f aca="false">IF(E40="","",IFERROR(INDEX(Lists!$C$2:$C$86,MATCH(E40,Lists!$A$2:$A$86,0)),"?"))</f>
        <v/>
      </c>
      <c r="I40" s="24" t="str">
        <f aca="false">IF(OR(C40="",E40=""),"",IF(H40="Yes",IFERROR(INDEX(Employees!$E$4:$E$43,MATCH(C40,Employees!$B$4:$B$43,0)),0),0))</f>
        <v/>
      </c>
      <c r="J40" s="25" t="str">
        <f aca="false">IF(G40="","",IF(H40="Yes",G40*I40,0))</f>
        <v/>
      </c>
      <c r="K40" s="25" t="str">
        <f aca="false">IF(OR(C40="",G40=""),"",G40*IFERROR(INDEX(Employees!$F$4:$F$43,MATCH(C40,Employees!$B$4:$B$43,0)),0))</f>
        <v/>
      </c>
      <c r="L40" s="28"/>
    </row>
    <row r="41" customFormat="false" ht="15" hidden="false" customHeight="false" outlineLevel="0" collapsed="false">
      <c r="A41" s="26"/>
      <c r="B41" s="27" t="str">
        <f aca="false">IF(A41="","",A41+7-WEEKDAY(A41,1)+1)</f>
        <v/>
      </c>
      <c r="C41" s="28"/>
      <c r="D41" s="29"/>
      <c r="E41" s="28"/>
      <c r="F41" s="28"/>
      <c r="G41" s="30"/>
      <c r="H41" s="31" t="str">
        <f aca="false">IF(E41="","",IFERROR(INDEX(Lists!$C$2:$C$86,MATCH(E41,Lists!$A$2:$A$86,0)),"?"))</f>
        <v/>
      </c>
      <c r="I41" s="32" t="str">
        <f aca="false">IF(OR(C41="",E41=""),"",IF(H41="Yes",IFERROR(INDEX(Employees!$E$4:$E$43,MATCH(C41,Employees!$B$4:$B$43,0)),0),0))</f>
        <v/>
      </c>
      <c r="J41" s="33" t="str">
        <f aca="false">IF(G41="","",IF(H41="Yes",G41*I41,0))</f>
        <v/>
      </c>
      <c r="K41" s="33" t="str">
        <f aca="false">IF(OR(C41="",G41=""),"",G41*IFERROR(INDEX(Employees!$F$4:$F$43,MATCH(C41,Employees!$B$4:$B$43,0)),0))</f>
        <v/>
      </c>
      <c r="L41" s="28"/>
    </row>
    <row r="42" customFormat="false" ht="15" hidden="false" customHeight="false" outlineLevel="0" collapsed="false">
      <c r="A42" s="26"/>
      <c r="B42" s="19" t="str">
        <f aca="false">IF(A42="","",A42+7-WEEKDAY(A42,1)+1)</f>
        <v/>
      </c>
      <c r="C42" s="28"/>
      <c r="D42" s="29"/>
      <c r="E42" s="28"/>
      <c r="F42" s="28"/>
      <c r="G42" s="30"/>
      <c r="H42" s="23" t="str">
        <f aca="false">IF(E42="","",IFERROR(INDEX(Lists!$C$2:$C$86,MATCH(E42,Lists!$A$2:$A$86,0)),"?"))</f>
        <v/>
      </c>
      <c r="I42" s="24" t="str">
        <f aca="false">IF(OR(C42="",E42=""),"",IF(H42="Yes",IFERROR(INDEX(Employees!$E$4:$E$43,MATCH(C42,Employees!$B$4:$B$43,0)),0),0))</f>
        <v/>
      </c>
      <c r="J42" s="25" t="str">
        <f aca="false">IF(G42="","",IF(H42="Yes",G42*I42,0))</f>
        <v/>
      </c>
      <c r="K42" s="25" t="str">
        <f aca="false">IF(OR(C42="",G42=""),"",G42*IFERROR(INDEX(Employees!$F$4:$F$43,MATCH(C42,Employees!$B$4:$B$43,0)),0))</f>
        <v/>
      </c>
      <c r="L42" s="28"/>
    </row>
    <row r="43" customFormat="false" ht="15" hidden="false" customHeight="false" outlineLevel="0" collapsed="false">
      <c r="A43" s="26"/>
      <c r="B43" s="27" t="str">
        <f aca="false">IF(A43="","",A43+7-WEEKDAY(A43,1)+1)</f>
        <v/>
      </c>
      <c r="C43" s="28"/>
      <c r="D43" s="29"/>
      <c r="E43" s="28"/>
      <c r="F43" s="28"/>
      <c r="G43" s="30"/>
      <c r="H43" s="31" t="str">
        <f aca="false">IF(E43="","",IFERROR(INDEX(Lists!$C$2:$C$86,MATCH(E43,Lists!$A$2:$A$86,0)),"?"))</f>
        <v/>
      </c>
      <c r="I43" s="32" t="str">
        <f aca="false">IF(OR(C43="",E43=""),"",IF(H43="Yes",IFERROR(INDEX(Employees!$E$4:$E$43,MATCH(C43,Employees!$B$4:$B$43,0)),0),0))</f>
        <v/>
      </c>
      <c r="J43" s="33" t="str">
        <f aca="false">IF(G43="","",IF(H43="Yes",G43*I43,0))</f>
        <v/>
      </c>
      <c r="K43" s="33" t="str">
        <f aca="false">IF(OR(C43="",G43=""),"",G43*IFERROR(INDEX(Employees!$F$4:$F$43,MATCH(C43,Employees!$B$4:$B$43,0)),0))</f>
        <v/>
      </c>
      <c r="L43" s="28"/>
    </row>
    <row r="44" customFormat="false" ht="15" hidden="false" customHeight="false" outlineLevel="0" collapsed="false">
      <c r="A44" s="26"/>
      <c r="B44" s="19" t="str">
        <f aca="false">IF(A44="","",A44+7-WEEKDAY(A44,1)+1)</f>
        <v/>
      </c>
      <c r="C44" s="28"/>
      <c r="D44" s="29"/>
      <c r="E44" s="28"/>
      <c r="F44" s="28"/>
      <c r="G44" s="30"/>
      <c r="H44" s="23" t="str">
        <f aca="false">IF(E44="","",IFERROR(INDEX(Lists!$C$2:$C$86,MATCH(E44,Lists!$A$2:$A$86,0)),"?"))</f>
        <v/>
      </c>
      <c r="I44" s="24" t="str">
        <f aca="false">IF(OR(C44="",E44=""),"",IF(H44="Yes",IFERROR(INDEX(Employees!$E$4:$E$43,MATCH(C44,Employees!$B$4:$B$43,0)),0),0))</f>
        <v/>
      </c>
      <c r="J44" s="25" t="str">
        <f aca="false">IF(G44="","",IF(H44="Yes",G44*I44,0))</f>
        <v/>
      </c>
      <c r="K44" s="25" t="str">
        <f aca="false">IF(OR(C44="",G44=""),"",G44*IFERROR(INDEX(Employees!$F$4:$F$43,MATCH(C44,Employees!$B$4:$B$43,0)),0))</f>
        <v/>
      </c>
      <c r="L44" s="28"/>
    </row>
    <row r="45" customFormat="false" ht="15" hidden="false" customHeight="false" outlineLevel="0" collapsed="false">
      <c r="A45" s="26"/>
      <c r="B45" s="27" t="str">
        <f aca="false">IF(A45="","",A45+7-WEEKDAY(A45,1)+1)</f>
        <v/>
      </c>
      <c r="C45" s="28"/>
      <c r="D45" s="29"/>
      <c r="E45" s="28"/>
      <c r="F45" s="28"/>
      <c r="G45" s="30"/>
      <c r="H45" s="31" t="str">
        <f aca="false">IF(E45="","",IFERROR(INDEX(Lists!$C$2:$C$86,MATCH(E45,Lists!$A$2:$A$86,0)),"?"))</f>
        <v/>
      </c>
      <c r="I45" s="32" t="str">
        <f aca="false">IF(OR(C45="",E45=""),"",IF(H45="Yes",IFERROR(INDEX(Employees!$E$4:$E$43,MATCH(C45,Employees!$B$4:$B$43,0)),0),0))</f>
        <v/>
      </c>
      <c r="J45" s="33" t="str">
        <f aca="false">IF(G45="","",IF(H45="Yes",G45*I45,0))</f>
        <v/>
      </c>
      <c r="K45" s="33" t="str">
        <f aca="false">IF(OR(C45="",G45=""),"",G45*IFERROR(INDEX(Employees!$F$4:$F$43,MATCH(C45,Employees!$B$4:$B$43,0)),0))</f>
        <v/>
      </c>
      <c r="L45" s="28"/>
    </row>
    <row r="46" customFormat="false" ht="15" hidden="false" customHeight="false" outlineLevel="0" collapsed="false">
      <c r="A46" s="26"/>
      <c r="B46" s="19" t="str">
        <f aca="false">IF(A46="","",A46+7-WEEKDAY(A46,1)+1)</f>
        <v/>
      </c>
      <c r="C46" s="28"/>
      <c r="D46" s="29"/>
      <c r="E46" s="28"/>
      <c r="F46" s="28"/>
      <c r="G46" s="30"/>
      <c r="H46" s="23" t="str">
        <f aca="false">IF(E46="","",IFERROR(INDEX(Lists!$C$2:$C$86,MATCH(E46,Lists!$A$2:$A$86,0)),"?"))</f>
        <v/>
      </c>
      <c r="I46" s="24" t="str">
        <f aca="false">IF(OR(C46="",E46=""),"",IF(H46="Yes",IFERROR(INDEX(Employees!$E$4:$E$43,MATCH(C46,Employees!$B$4:$B$43,0)),0),0))</f>
        <v/>
      </c>
      <c r="J46" s="25" t="str">
        <f aca="false">IF(G46="","",IF(H46="Yes",G46*I46,0))</f>
        <v/>
      </c>
      <c r="K46" s="25" t="str">
        <f aca="false">IF(OR(C46="",G46=""),"",G46*IFERROR(INDEX(Employees!$F$4:$F$43,MATCH(C46,Employees!$B$4:$B$43,0)),0))</f>
        <v/>
      </c>
      <c r="L46" s="28"/>
    </row>
    <row r="47" customFormat="false" ht="15" hidden="false" customHeight="false" outlineLevel="0" collapsed="false">
      <c r="A47" s="26"/>
      <c r="B47" s="27" t="str">
        <f aca="false">IF(A47="","",A47+7-WEEKDAY(A47,1)+1)</f>
        <v/>
      </c>
      <c r="C47" s="28"/>
      <c r="D47" s="29"/>
      <c r="E47" s="28"/>
      <c r="F47" s="28"/>
      <c r="G47" s="30"/>
      <c r="H47" s="31" t="str">
        <f aca="false">IF(E47="","",IFERROR(INDEX(Lists!$C$2:$C$86,MATCH(E47,Lists!$A$2:$A$86,0)),"?"))</f>
        <v/>
      </c>
      <c r="I47" s="32" t="str">
        <f aca="false">IF(OR(C47="",E47=""),"",IF(H47="Yes",IFERROR(INDEX(Employees!$E$4:$E$43,MATCH(C47,Employees!$B$4:$B$43,0)),0),0))</f>
        <v/>
      </c>
      <c r="J47" s="33" t="str">
        <f aca="false">IF(G47="","",IF(H47="Yes",G47*I47,0))</f>
        <v/>
      </c>
      <c r="K47" s="33" t="str">
        <f aca="false">IF(OR(C47="",G47=""),"",G47*IFERROR(INDEX(Employees!$F$4:$F$43,MATCH(C47,Employees!$B$4:$B$43,0)),0))</f>
        <v/>
      </c>
      <c r="L47" s="28"/>
    </row>
    <row r="48" customFormat="false" ht="15" hidden="false" customHeight="false" outlineLevel="0" collapsed="false">
      <c r="A48" s="26"/>
      <c r="B48" s="19" t="str">
        <f aca="false">IF(A48="","",A48+7-WEEKDAY(A48,1)+1)</f>
        <v/>
      </c>
      <c r="C48" s="28"/>
      <c r="D48" s="29"/>
      <c r="E48" s="28"/>
      <c r="F48" s="28"/>
      <c r="G48" s="30"/>
      <c r="H48" s="23" t="str">
        <f aca="false">IF(E48="","",IFERROR(INDEX(Lists!$C$2:$C$86,MATCH(E48,Lists!$A$2:$A$86,0)),"?"))</f>
        <v/>
      </c>
      <c r="I48" s="24" t="str">
        <f aca="false">IF(OR(C48="",E48=""),"",IF(H48="Yes",IFERROR(INDEX(Employees!$E$4:$E$43,MATCH(C48,Employees!$B$4:$B$43,0)),0),0))</f>
        <v/>
      </c>
      <c r="J48" s="25" t="str">
        <f aca="false">IF(G48="","",IF(H48="Yes",G48*I48,0))</f>
        <v/>
      </c>
      <c r="K48" s="25" t="str">
        <f aca="false">IF(OR(C48="",G48=""),"",G48*IFERROR(INDEX(Employees!$F$4:$F$43,MATCH(C48,Employees!$B$4:$B$43,0)),0))</f>
        <v/>
      </c>
      <c r="L48" s="28"/>
    </row>
    <row r="49" customFormat="false" ht="15" hidden="false" customHeight="false" outlineLevel="0" collapsed="false">
      <c r="A49" s="26"/>
      <c r="B49" s="27" t="str">
        <f aca="false">IF(A49="","",A49+7-WEEKDAY(A49,1)+1)</f>
        <v/>
      </c>
      <c r="C49" s="28"/>
      <c r="D49" s="29"/>
      <c r="E49" s="28"/>
      <c r="F49" s="28"/>
      <c r="G49" s="30"/>
      <c r="H49" s="31" t="str">
        <f aca="false">IF(E49="","",IFERROR(INDEX(Lists!$C$2:$C$86,MATCH(E49,Lists!$A$2:$A$86,0)),"?"))</f>
        <v/>
      </c>
      <c r="I49" s="32" t="str">
        <f aca="false">IF(OR(C49="",E49=""),"",IF(H49="Yes",IFERROR(INDEX(Employees!$E$4:$E$43,MATCH(C49,Employees!$B$4:$B$43,0)),0),0))</f>
        <v/>
      </c>
      <c r="J49" s="33" t="str">
        <f aca="false">IF(G49="","",IF(H49="Yes",G49*I49,0))</f>
        <v/>
      </c>
      <c r="K49" s="33" t="str">
        <f aca="false">IF(OR(C49="",G49=""),"",G49*IFERROR(INDEX(Employees!$F$4:$F$43,MATCH(C49,Employees!$B$4:$B$43,0)),0))</f>
        <v/>
      </c>
      <c r="L49" s="28"/>
    </row>
    <row r="50" customFormat="false" ht="15" hidden="false" customHeight="false" outlineLevel="0" collapsed="false">
      <c r="A50" s="26"/>
      <c r="B50" s="19" t="str">
        <f aca="false">IF(A50="","",A50+7-WEEKDAY(A50,1)+1)</f>
        <v/>
      </c>
      <c r="C50" s="28"/>
      <c r="D50" s="29"/>
      <c r="E50" s="28"/>
      <c r="F50" s="28"/>
      <c r="G50" s="30"/>
      <c r="H50" s="23" t="str">
        <f aca="false">IF(E50="","",IFERROR(INDEX(Lists!$C$2:$C$86,MATCH(E50,Lists!$A$2:$A$86,0)),"?"))</f>
        <v/>
      </c>
      <c r="I50" s="24" t="str">
        <f aca="false">IF(OR(C50="",E50=""),"",IF(H50="Yes",IFERROR(INDEX(Employees!$E$4:$E$43,MATCH(C50,Employees!$B$4:$B$43,0)),0),0))</f>
        <v/>
      </c>
      <c r="J50" s="25" t="str">
        <f aca="false">IF(G50="","",IF(H50="Yes",G50*I50,0))</f>
        <v/>
      </c>
      <c r="K50" s="25" t="str">
        <f aca="false">IF(OR(C50="",G50=""),"",G50*IFERROR(INDEX(Employees!$F$4:$F$43,MATCH(C50,Employees!$B$4:$B$43,0)),0))</f>
        <v/>
      </c>
      <c r="L50" s="28"/>
    </row>
    <row r="51" customFormat="false" ht="15" hidden="false" customHeight="false" outlineLevel="0" collapsed="false">
      <c r="A51" s="26"/>
      <c r="B51" s="27" t="str">
        <f aca="false">IF(A51="","",A51+7-WEEKDAY(A51,1)+1)</f>
        <v/>
      </c>
      <c r="C51" s="28"/>
      <c r="D51" s="29"/>
      <c r="E51" s="28"/>
      <c r="F51" s="28"/>
      <c r="G51" s="30"/>
      <c r="H51" s="31" t="str">
        <f aca="false">IF(E51="","",IFERROR(INDEX(Lists!$C$2:$C$86,MATCH(E51,Lists!$A$2:$A$86,0)),"?"))</f>
        <v/>
      </c>
      <c r="I51" s="32" t="str">
        <f aca="false">IF(OR(C51="",E51=""),"",IF(H51="Yes",IFERROR(INDEX(Employees!$E$4:$E$43,MATCH(C51,Employees!$B$4:$B$43,0)),0),0))</f>
        <v/>
      </c>
      <c r="J51" s="33" t="str">
        <f aca="false">IF(G51="","",IF(H51="Yes",G51*I51,0))</f>
        <v/>
      </c>
      <c r="K51" s="33" t="str">
        <f aca="false">IF(OR(C51="",G51=""),"",G51*IFERROR(INDEX(Employees!$F$4:$F$43,MATCH(C51,Employees!$B$4:$B$43,0)),0))</f>
        <v/>
      </c>
      <c r="L51" s="28"/>
    </row>
    <row r="52" customFormat="false" ht="15" hidden="false" customHeight="false" outlineLevel="0" collapsed="false">
      <c r="A52" s="26"/>
      <c r="B52" s="19" t="str">
        <f aca="false">IF(A52="","",A52+7-WEEKDAY(A52,1)+1)</f>
        <v/>
      </c>
      <c r="C52" s="28"/>
      <c r="D52" s="29"/>
      <c r="E52" s="28"/>
      <c r="F52" s="28"/>
      <c r="G52" s="30"/>
      <c r="H52" s="23" t="str">
        <f aca="false">IF(E52="","",IFERROR(INDEX(Lists!$C$2:$C$86,MATCH(E52,Lists!$A$2:$A$86,0)),"?"))</f>
        <v/>
      </c>
      <c r="I52" s="24" t="str">
        <f aca="false">IF(OR(C52="",E52=""),"",IF(H52="Yes",IFERROR(INDEX(Employees!$E$4:$E$43,MATCH(C52,Employees!$B$4:$B$43,0)),0),0))</f>
        <v/>
      </c>
      <c r="J52" s="25" t="str">
        <f aca="false">IF(G52="","",IF(H52="Yes",G52*I52,0))</f>
        <v/>
      </c>
      <c r="K52" s="25" t="str">
        <f aca="false">IF(OR(C52="",G52=""),"",G52*IFERROR(INDEX(Employees!$F$4:$F$43,MATCH(C52,Employees!$B$4:$B$43,0)),0))</f>
        <v/>
      </c>
      <c r="L52" s="28"/>
    </row>
    <row r="53" customFormat="false" ht="15" hidden="false" customHeight="false" outlineLevel="0" collapsed="false">
      <c r="A53" s="26"/>
      <c r="B53" s="27" t="str">
        <f aca="false">IF(A53="","",A53+7-WEEKDAY(A53,1)+1)</f>
        <v/>
      </c>
      <c r="C53" s="28"/>
      <c r="D53" s="29"/>
      <c r="E53" s="28"/>
      <c r="F53" s="28"/>
      <c r="G53" s="30"/>
      <c r="H53" s="31" t="str">
        <f aca="false">IF(E53="","",IFERROR(INDEX(Lists!$C$2:$C$86,MATCH(E53,Lists!$A$2:$A$86,0)),"?"))</f>
        <v/>
      </c>
      <c r="I53" s="32" t="str">
        <f aca="false">IF(OR(C53="",E53=""),"",IF(H53="Yes",IFERROR(INDEX(Employees!$E$4:$E$43,MATCH(C53,Employees!$B$4:$B$43,0)),0),0))</f>
        <v/>
      </c>
      <c r="J53" s="33" t="str">
        <f aca="false">IF(G53="","",IF(H53="Yes",G53*I53,0))</f>
        <v/>
      </c>
      <c r="K53" s="33" t="str">
        <f aca="false">IF(OR(C53="",G53=""),"",G53*IFERROR(INDEX(Employees!$F$4:$F$43,MATCH(C53,Employees!$B$4:$B$43,0)),0))</f>
        <v/>
      </c>
      <c r="L53" s="28"/>
    </row>
    <row r="54" customFormat="false" ht="15" hidden="false" customHeight="false" outlineLevel="0" collapsed="false">
      <c r="A54" s="26"/>
      <c r="B54" s="19" t="str">
        <f aca="false">IF(A54="","",A54+7-WEEKDAY(A54,1)+1)</f>
        <v/>
      </c>
      <c r="C54" s="28"/>
      <c r="D54" s="29"/>
      <c r="E54" s="28"/>
      <c r="F54" s="28"/>
      <c r="G54" s="30"/>
      <c r="H54" s="23" t="str">
        <f aca="false">IF(E54="","",IFERROR(INDEX(Lists!$C$2:$C$86,MATCH(E54,Lists!$A$2:$A$86,0)),"?"))</f>
        <v/>
      </c>
      <c r="I54" s="24" t="str">
        <f aca="false">IF(OR(C54="",E54=""),"",IF(H54="Yes",IFERROR(INDEX(Employees!$E$4:$E$43,MATCH(C54,Employees!$B$4:$B$43,0)),0),0))</f>
        <v/>
      </c>
      <c r="J54" s="25" t="str">
        <f aca="false">IF(G54="","",IF(H54="Yes",G54*I54,0))</f>
        <v/>
      </c>
      <c r="K54" s="25" t="str">
        <f aca="false">IF(OR(C54="",G54=""),"",G54*IFERROR(INDEX(Employees!$F$4:$F$43,MATCH(C54,Employees!$B$4:$B$43,0)),0))</f>
        <v/>
      </c>
      <c r="L54" s="28"/>
    </row>
    <row r="55" customFormat="false" ht="15" hidden="false" customHeight="false" outlineLevel="0" collapsed="false">
      <c r="A55" s="26"/>
      <c r="B55" s="27" t="str">
        <f aca="false">IF(A55="","",A55+7-WEEKDAY(A55,1)+1)</f>
        <v/>
      </c>
      <c r="C55" s="28"/>
      <c r="D55" s="29"/>
      <c r="E55" s="28"/>
      <c r="F55" s="28"/>
      <c r="G55" s="30"/>
      <c r="H55" s="31" t="str">
        <f aca="false">IF(E55="","",IFERROR(INDEX(Lists!$C$2:$C$86,MATCH(E55,Lists!$A$2:$A$86,0)),"?"))</f>
        <v/>
      </c>
      <c r="I55" s="32" t="str">
        <f aca="false">IF(OR(C55="",E55=""),"",IF(H55="Yes",IFERROR(INDEX(Employees!$E$4:$E$43,MATCH(C55,Employees!$B$4:$B$43,0)),0),0))</f>
        <v/>
      </c>
      <c r="J55" s="33" t="str">
        <f aca="false">IF(G55="","",IF(H55="Yes",G55*I55,0))</f>
        <v/>
      </c>
      <c r="K55" s="33" t="str">
        <f aca="false">IF(OR(C55="",G55=""),"",G55*IFERROR(INDEX(Employees!$F$4:$F$43,MATCH(C55,Employees!$B$4:$B$43,0)),0))</f>
        <v/>
      </c>
      <c r="L55" s="28"/>
    </row>
    <row r="56" customFormat="false" ht="15" hidden="false" customHeight="false" outlineLevel="0" collapsed="false">
      <c r="A56" s="26"/>
      <c r="B56" s="19" t="str">
        <f aca="false">IF(A56="","",A56+7-WEEKDAY(A56,1)+1)</f>
        <v/>
      </c>
      <c r="C56" s="28"/>
      <c r="D56" s="29"/>
      <c r="E56" s="28"/>
      <c r="F56" s="28"/>
      <c r="G56" s="30"/>
      <c r="H56" s="23" t="str">
        <f aca="false">IF(E56="","",IFERROR(INDEX(Lists!$C$2:$C$86,MATCH(E56,Lists!$A$2:$A$86,0)),"?"))</f>
        <v/>
      </c>
      <c r="I56" s="24" t="str">
        <f aca="false">IF(OR(C56="",E56=""),"",IF(H56="Yes",IFERROR(INDEX(Employees!$E$4:$E$43,MATCH(C56,Employees!$B$4:$B$43,0)),0),0))</f>
        <v/>
      </c>
      <c r="J56" s="25" t="str">
        <f aca="false">IF(G56="","",IF(H56="Yes",G56*I56,0))</f>
        <v/>
      </c>
      <c r="K56" s="25" t="str">
        <f aca="false">IF(OR(C56="",G56=""),"",G56*IFERROR(INDEX(Employees!$F$4:$F$43,MATCH(C56,Employees!$B$4:$B$43,0)),0))</f>
        <v/>
      </c>
      <c r="L56" s="28"/>
    </row>
    <row r="57" customFormat="false" ht="15" hidden="false" customHeight="false" outlineLevel="0" collapsed="false">
      <c r="A57" s="26"/>
      <c r="B57" s="27" t="str">
        <f aca="false">IF(A57="","",A57+7-WEEKDAY(A57,1)+1)</f>
        <v/>
      </c>
      <c r="C57" s="28"/>
      <c r="D57" s="29"/>
      <c r="E57" s="28"/>
      <c r="F57" s="28"/>
      <c r="G57" s="30"/>
      <c r="H57" s="31" t="str">
        <f aca="false">IF(E57="","",IFERROR(INDEX(Lists!$C$2:$C$86,MATCH(E57,Lists!$A$2:$A$86,0)),"?"))</f>
        <v/>
      </c>
      <c r="I57" s="32" t="str">
        <f aca="false">IF(OR(C57="",E57=""),"",IF(H57="Yes",IFERROR(INDEX(Employees!$E$4:$E$43,MATCH(C57,Employees!$B$4:$B$43,0)),0),0))</f>
        <v/>
      </c>
      <c r="J57" s="33" t="str">
        <f aca="false">IF(G57="","",IF(H57="Yes",G57*I57,0))</f>
        <v/>
      </c>
      <c r="K57" s="33" t="str">
        <f aca="false">IF(OR(C57="",G57=""),"",G57*IFERROR(INDEX(Employees!$F$4:$F$43,MATCH(C57,Employees!$B$4:$B$43,0)),0))</f>
        <v/>
      </c>
      <c r="L57" s="28"/>
    </row>
    <row r="58" customFormat="false" ht="15" hidden="false" customHeight="false" outlineLevel="0" collapsed="false">
      <c r="A58" s="26"/>
      <c r="B58" s="19" t="str">
        <f aca="false">IF(A58="","",A58+7-WEEKDAY(A58,1)+1)</f>
        <v/>
      </c>
      <c r="C58" s="28"/>
      <c r="D58" s="29"/>
      <c r="E58" s="28"/>
      <c r="F58" s="28"/>
      <c r="G58" s="30"/>
      <c r="H58" s="23" t="str">
        <f aca="false">IF(E58="","",IFERROR(INDEX(Lists!$C$2:$C$86,MATCH(E58,Lists!$A$2:$A$86,0)),"?"))</f>
        <v/>
      </c>
      <c r="I58" s="24" t="str">
        <f aca="false">IF(OR(C58="",E58=""),"",IF(H58="Yes",IFERROR(INDEX(Employees!$E$4:$E$43,MATCH(C58,Employees!$B$4:$B$43,0)),0),0))</f>
        <v/>
      </c>
      <c r="J58" s="25" t="str">
        <f aca="false">IF(G58="","",IF(H58="Yes",G58*I58,0))</f>
        <v/>
      </c>
      <c r="K58" s="25" t="str">
        <f aca="false">IF(OR(C58="",G58=""),"",G58*IFERROR(INDEX(Employees!$F$4:$F$43,MATCH(C58,Employees!$B$4:$B$43,0)),0))</f>
        <v/>
      </c>
      <c r="L58" s="28"/>
    </row>
    <row r="59" customFormat="false" ht="15" hidden="false" customHeight="false" outlineLevel="0" collapsed="false">
      <c r="A59" s="26"/>
      <c r="B59" s="27" t="str">
        <f aca="false">IF(A59="","",A59+7-WEEKDAY(A59,1)+1)</f>
        <v/>
      </c>
      <c r="C59" s="28"/>
      <c r="D59" s="29"/>
      <c r="E59" s="28"/>
      <c r="F59" s="28"/>
      <c r="G59" s="30"/>
      <c r="H59" s="31" t="str">
        <f aca="false">IF(E59="","",IFERROR(INDEX(Lists!$C$2:$C$86,MATCH(E59,Lists!$A$2:$A$86,0)),"?"))</f>
        <v/>
      </c>
      <c r="I59" s="32" t="str">
        <f aca="false">IF(OR(C59="",E59=""),"",IF(H59="Yes",IFERROR(INDEX(Employees!$E$4:$E$43,MATCH(C59,Employees!$B$4:$B$43,0)),0),0))</f>
        <v/>
      </c>
      <c r="J59" s="33" t="str">
        <f aca="false">IF(G59="","",IF(H59="Yes",G59*I59,0))</f>
        <v/>
      </c>
      <c r="K59" s="33" t="str">
        <f aca="false">IF(OR(C59="",G59=""),"",G59*IFERROR(INDEX(Employees!$F$4:$F$43,MATCH(C59,Employees!$B$4:$B$43,0)),0))</f>
        <v/>
      </c>
      <c r="L59" s="28"/>
    </row>
    <row r="60" customFormat="false" ht="15" hidden="false" customHeight="false" outlineLevel="0" collapsed="false">
      <c r="A60" s="26"/>
      <c r="B60" s="19" t="str">
        <f aca="false">IF(A60="","",A60+7-WEEKDAY(A60,1)+1)</f>
        <v/>
      </c>
      <c r="C60" s="28"/>
      <c r="D60" s="29"/>
      <c r="E60" s="28"/>
      <c r="F60" s="28"/>
      <c r="G60" s="30"/>
      <c r="H60" s="23" t="str">
        <f aca="false">IF(E60="","",IFERROR(INDEX(Lists!$C$2:$C$86,MATCH(E60,Lists!$A$2:$A$86,0)),"?"))</f>
        <v/>
      </c>
      <c r="I60" s="24" t="str">
        <f aca="false">IF(OR(C60="",E60=""),"",IF(H60="Yes",IFERROR(INDEX(Employees!$E$4:$E$43,MATCH(C60,Employees!$B$4:$B$43,0)),0),0))</f>
        <v/>
      </c>
      <c r="J60" s="25" t="str">
        <f aca="false">IF(G60="","",IF(H60="Yes",G60*I60,0))</f>
        <v/>
      </c>
      <c r="K60" s="25" t="str">
        <f aca="false">IF(OR(C60="",G60=""),"",G60*IFERROR(INDEX(Employees!$F$4:$F$43,MATCH(C60,Employees!$B$4:$B$43,0)),0))</f>
        <v/>
      </c>
      <c r="L60" s="28"/>
    </row>
    <row r="61" customFormat="false" ht="15" hidden="false" customHeight="false" outlineLevel="0" collapsed="false">
      <c r="A61" s="26"/>
      <c r="B61" s="27" t="str">
        <f aca="false">IF(A61="","",A61+7-WEEKDAY(A61,1)+1)</f>
        <v/>
      </c>
      <c r="C61" s="28"/>
      <c r="D61" s="29"/>
      <c r="E61" s="28"/>
      <c r="F61" s="28"/>
      <c r="G61" s="30"/>
      <c r="H61" s="31" t="str">
        <f aca="false">IF(E61="","",IFERROR(INDEX(Lists!$C$2:$C$86,MATCH(E61,Lists!$A$2:$A$86,0)),"?"))</f>
        <v/>
      </c>
      <c r="I61" s="32" t="str">
        <f aca="false">IF(OR(C61="",E61=""),"",IF(H61="Yes",IFERROR(INDEX(Employees!$E$4:$E$43,MATCH(C61,Employees!$B$4:$B$43,0)),0),0))</f>
        <v/>
      </c>
      <c r="J61" s="33" t="str">
        <f aca="false">IF(G61="","",IF(H61="Yes",G61*I61,0))</f>
        <v/>
      </c>
      <c r="K61" s="33" t="str">
        <f aca="false">IF(OR(C61="",G61=""),"",G61*IFERROR(INDEX(Employees!$F$4:$F$43,MATCH(C61,Employees!$B$4:$B$43,0)),0))</f>
        <v/>
      </c>
      <c r="L61" s="28"/>
    </row>
    <row r="62" customFormat="false" ht="15" hidden="false" customHeight="false" outlineLevel="0" collapsed="false">
      <c r="A62" s="26"/>
      <c r="B62" s="19" t="str">
        <f aca="false">IF(A62="","",A62+7-WEEKDAY(A62,1)+1)</f>
        <v/>
      </c>
      <c r="C62" s="28"/>
      <c r="D62" s="29"/>
      <c r="E62" s="28"/>
      <c r="F62" s="28"/>
      <c r="G62" s="30"/>
      <c r="H62" s="23" t="str">
        <f aca="false">IF(E62="","",IFERROR(INDEX(Lists!$C$2:$C$86,MATCH(E62,Lists!$A$2:$A$86,0)),"?"))</f>
        <v/>
      </c>
      <c r="I62" s="24" t="str">
        <f aca="false">IF(OR(C62="",E62=""),"",IF(H62="Yes",IFERROR(INDEX(Employees!$E$4:$E$43,MATCH(C62,Employees!$B$4:$B$43,0)),0),0))</f>
        <v/>
      </c>
      <c r="J62" s="25" t="str">
        <f aca="false">IF(G62="","",IF(H62="Yes",G62*I62,0))</f>
        <v/>
      </c>
      <c r="K62" s="25" t="str">
        <f aca="false">IF(OR(C62="",G62=""),"",G62*IFERROR(INDEX(Employees!$F$4:$F$43,MATCH(C62,Employees!$B$4:$B$43,0)),0))</f>
        <v/>
      </c>
      <c r="L62" s="28"/>
    </row>
    <row r="63" customFormat="false" ht="15" hidden="false" customHeight="false" outlineLevel="0" collapsed="false">
      <c r="A63" s="26"/>
      <c r="B63" s="27" t="str">
        <f aca="false">IF(A63="","",A63+7-WEEKDAY(A63,1)+1)</f>
        <v/>
      </c>
      <c r="C63" s="28"/>
      <c r="D63" s="29"/>
      <c r="E63" s="28"/>
      <c r="F63" s="28"/>
      <c r="G63" s="30"/>
      <c r="H63" s="31" t="str">
        <f aca="false">IF(E63="","",IFERROR(INDEX(Lists!$C$2:$C$86,MATCH(E63,Lists!$A$2:$A$86,0)),"?"))</f>
        <v/>
      </c>
      <c r="I63" s="32" t="str">
        <f aca="false">IF(OR(C63="",E63=""),"",IF(H63="Yes",IFERROR(INDEX(Employees!$E$4:$E$43,MATCH(C63,Employees!$B$4:$B$43,0)),0),0))</f>
        <v/>
      </c>
      <c r="J63" s="33" t="str">
        <f aca="false">IF(G63="","",IF(H63="Yes",G63*I63,0))</f>
        <v/>
      </c>
      <c r="K63" s="33" t="str">
        <f aca="false">IF(OR(C63="",G63=""),"",G63*IFERROR(INDEX(Employees!$F$4:$F$43,MATCH(C63,Employees!$B$4:$B$43,0)),0))</f>
        <v/>
      </c>
      <c r="L63" s="28"/>
    </row>
    <row r="64" customFormat="false" ht="15" hidden="false" customHeight="false" outlineLevel="0" collapsed="false">
      <c r="A64" s="26"/>
      <c r="B64" s="19" t="str">
        <f aca="false">IF(A64="","",A64+7-WEEKDAY(A64,1)+1)</f>
        <v/>
      </c>
      <c r="C64" s="28"/>
      <c r="D64" s="29"/>
      <c r="E64" s="28"/>
      <c r="F64" s="28"/>
      <c r="G64" s="30"/>
      <c r="H64" s="23" t="str">
        <f aca="false">IF(E64="","",IFERROR(INDEX(Lists!$C$2:$C$86,MATCH(E64,Lists!$A$2:$A$86,0)),"?"))</f>
        <v/>
      </c>
      <c r="I64" s="24" t="str">
        <f aca="false">IF(OR(C64="",E64=""),"",IF(H64="Yes",IFERROR(INDEX(Employees!$E$4:$E$43,MATCH(C64,Employees!$B$4:$B$43,0)),0),0))</f>
        <v/>
      </c>
      <c r="J64" s="25" t="str">
        <f aca="false">IF(G64="","",IF(H64="Yes",G64*I64,0))</f>
        <v/>
      </c>
      <c r="K64" s="25" t="str">
        <f aca="false">IF(OR(C64="",G64=""),"",G64*IFERROR(INDEX(Employees!$F$4:$F$43,MATCH(C64,Employees!$B$4:$B$43,0)),0))</f>
        <v/>
      </c>
      <c r="L64" s="28"/>
    </row>
    <row r="65" customFormat="false" ht="15" hidden="false" customHeight="false" outlineLevel="0" collapsed="false">
      <c r="A65" s="26"/>
      <c r="B65" s="27" t="str">
        <f aca="false">IF(A65="","",A65+7-WEEKDAY(A65,1)+1)</f>
        <v/>
      </c>
      <c r="C65" s="28"/>
      <c r="D65" s="29"/>
      <c r="E65" s="28"/>
      <c r="F65" s="28"/>
      <c r="G65" s="30"/>
      <c r="H65" s="31" t="str">
        <f aca="false">IF(E65="","",IFERROR(INDEX(Lists!$C$2:$C$86,MATCH(E65,Lists!$A$2:$A$86,0)),"?"))</f>
        <v/>
      </c>
      <c r="I65" s="32" t="str">
        <f aca="false">IF(OR(C65="",E65=""),"",IF(H65="Yes",IFERROR(INDEX(Employees!$E$4:$E$43,MATCH(C65,Employees!$B$4:$B$43,0)),0),0))</f>
        <v/>
      </c>
      <c r="J65" s="33" t="str">
        <f aca="false">IF(G65="","",IF(H65="Yes",G65*I65,0))</f>
        <v/>
      </c>
      <c r="K65" s="33" t="str">
        <f aca="false">IF(OR(C65="",G65=""),"",G65*IFERROR(INDEX(Employees!$F$4:$F$43,MATCH(C65,Employees!$B$4:$B$43,0)),0))</f>
        <v/>
      </c>
      <c r="L65" s="28"/>
    </row>
    <row r="66" customFormat="false" ht="15" hidden="false" customHeight="false" outlineLevel="0" collapsed="false">
      <c r="A66" s="26"/>
      <c r="B66" s="19" t="str">
        <f aca="false">IF(A66="","",A66+7-WEEKDAY(A66,1)+1)</f>
        <v/>
      </c>
      <c r="C66" s="28"/>
      <c r="D66" s="29"/>
      <c r="E66" s="28"/>
      <c r="F66" s="28"/>
      <c r="G66" s="30"/>
      <c r="H66" s="23" t="str">
        <f aca="false">IF(E66="","",IFERROR(INDEX(Lists!$C$2:$C$86,MATCH(E66,Lists!$A$2:$A$86,0)),"?"))</f>
        <v/>
      </c>
      <c r="I66" s="24" t="str">
        <f aca="false">IF(OR(C66="",E66=""),"",IF(H66="Yes",IFERROR(INDEX(Employees!$E$4:$E$43,MATCH(C66,Employees!$B$4:$B$43,0)),0),0))</f>
        <v/>
      </c>
      <c r="J66" s="25" t="str">
        <f aca="false">IF(G66="","",IF(H66="Yes",G66*I66,0))</f>
        <v/>
      </c>
      <c r="K66" s="25" t="str">
        <f aca="false">IF(OR(C66="",G66=""),"",G66*IFERROR(INDEX(Employees!$F$4:$F$43,MATCH(C66,Employees!$B$4:$B$43,0)),0))</f>
        <v/>
      </c>
      <c r="L66" s="28"/>
    </row>
    <row r="67" customFormat="false" ht="15" hidden="false" customHeight="false" outlineLevel="0" collapsed="false">
      <c r="A67" s="26"/>
      <c r="B67" s="27" t="str">
        <f aca="false">IF(A67="","",A67+7-WEEKDAY(A67,1)+1)</f>
        <v/>
      </c>
      <c r="C67" s="28"/>
      <c r="D67" s="29"/>
      <c r="E67" s="28"/>
      <c r="F67" s="28"/>
      <c r="G67" s="30"/>
      <c r="H67" s="31" t="str">
        <f aca="false">IF(E67="","",IFERROR(INDEX(Lists!$C$2:$C$86,MATCH(E67,Lists!$A$2:$A$86,0)),"?"))</f>
        <v/>
      </c>
      <c r="I67" s="32" t="str">
        <f aca="false">IF(OR(C67="",E67=""),"",IF(H67="Yes",IFERROR(INDEX(Employees!$E$4:$E$43,MATCH(C67,Employees!$B$4:$B$43,0)),0),0))</f>
        <v/>
      </c>
      <c r="J67" s="33" t="str">
        <f aca="false">IF(G67="","",IF(H67="Yes",G67*I67,0))</f>
        <v/>
      </c>
      <c r="K67" s="33" t="str">
        <f aca="false">IF(OR(C67="",G67=""),"",G67*IFERROR(INDEX(Employees!$F$4:$F$43,MATCH(C67,Employees!$B$4:$B$43,0)),0))</f>
        <v/>
      </c>
      <c r="L67" s="28"/>
    </row>
    <row r="68" customFormat="false" ht="15" hidden="false" customHeight="false" outlineLevel="0" collapsed="false">
      <c r="A68" s="26"/>
      <c r="B68" s="19" t="str">
        <f aca="false">IF(A68="","",A68+7-WEEKDAY(A68,1)+1)</f>
        <v/>
      </c>
      <c r="C68" s="28"/>
      <c r="D68" s="29"/>
      <c r="E68" s="28"/>
      <c r="F68" s="28"/>
      <c r="G68" s="30"/>
      <c r="H68" s="23" t="str">
        <f aca="false">IF(E68="","",IFERROR(INDEX(Lists!$C$2:$C$86,MATCH(E68,Lists!$A$2:$A$86,0)),"?"))</f>
        <v/>
      </c>
      <c r="I68" s="24" t="str">
        <f aca="false">IF(OR(C68="",E68=""),"",IF(H68="Yes",IFERROR(INDEX(Employees!$E$4:$E$43,MATCH(C68,Employees!$B$4:$B$43,0)),0),0))</f>
        <v/>
      </c>
      <c r="J68" s="25" t="str">
        <f aca="false">IF(G68="","",IF(H68="Yes",G68*I68,0))</f>
        <v/>
      </c>
      <c r="K68" s="25" t="str">
        <f aca="false">IF(OR(C68="",G68=""),"",G68*IFERROR(INDEX(Employees!$F$4:$F$43,MATCH(C68,Employees!$B$4:$B$43,0)),0))</f>
        <v/>
      </c>
      <c r="L68" s="28"/>
    </row>
    <row r="69" customFormat="false" ht="15" hidden="false" customHeight="false" outlineLevel="0" collapsed="false">
      <c r="A69" s="26"/>
      <c r="B69" s="27" t="str">
        <f aca="false">IF(A69="","",A69+7-WEEKDAY(A69,1)+1)</f>
        <v/>
      </c>
      <c r="C69" s="28"/>
      <c r="D69" s="29"/>
      <c r="E69" s="28"/>
      <c r="F69" s="28"/>
      <c r="G69" s="30"/>
      <c r="H69" s="31" t="str">
        <f aca="false">IF(E69="","",IFERROR(INDEX(Lists!$C$2:$C$86,MATCH(E69,Lists!$A$2:$A$86,0)),"?"))</f>
        <v/>
      </c>
      <c r="I69" s="32" t="str">
        <f aca="false">IF(OR(C69="",E69=""),"",IF(H69="Yes",IFERROR(INDEX(Employees!$E$4:$E$43,MATCH(C69,Employees!$B$4:$B$43,0)),0),0))</f>
        <v/>
      </c>
      <c r="J69" s="33" t="str">
        <f aca="false">IF(G69="","",IF(H69="Yes",G69*I69,0))</f>
        <v/>
      </c>
      <c r="K69" s="33" t="str">
        <f aca="false">IF(OR(C69="",G69=""),"",G69*IFERROR(INDEX(Employees!$F$4:$F$43,MATCH(C69,Employees!$B$4:$B$43,0)),0))</f>
        <v/>
      </c>
      <c r="L69" s="28"/>
    </row>
    <row r="70" customFormat="false" ht="15" hidden="false" customHeight="false" outlineLevel="0" collapsed="false">
      <c r="A70" s="26"/>
      <c r="B70" s="19" t="str">
        <f aca="false">IF(A70="","",A70+7-WEEKDAY(A70,1)+1)</f>
        <v/>
      </c>
      <c r="C70" s="28"/>
      <c r="D70" s="29"/>
      <c r="E70" s="28"/>
      <c r="F70" s="28"/>
      <c r="G70" s="30"/>
      <c r="H70" s="23" t="str">
        <f aca="false">IF(E70="","",IFERROR(INDEX(Lists!$C$2:$C$86,MATCH(E70,Lists!$A$2:$A$86,0)),"?"))</f>
        <v/>
      </c>
      <c r="I70" s="24" t="str">
        <f aca="false">IF(OR(C70="",E70=""),"",IF(H70="Yes",IFERROR(INDEX(Employees!$E$4:$E$43,MATCH(C70,Employees!$B$4:$B$43,0)),0),0))</f>
        <v/>
      </c>
      <c r="J70" s="25" t="str">
        <f aca="false">IF(G70="","",IF(H70="Yes",G70*I70,0))</f>
        <v/>
      </c>
      <c r="K70" s="25" t="str">
        <f aca="false">IF(OR(C70="",G70=""),"",G70*IFERROR(INDEX(Employees!$F$4:$F$43,MATCH(C70,Employees!$B$4:$B$43,0)),0))</f>
        <v/>
      </c>
      <c r="L70" s="28"/>
    </row>
    <row r="71" customFormat="false" ht="15" hidden="false" customHeight="false" outlineLevel="0" collapsed="false">
      <c r="A71" s="26"/>
      <c r="B71" s="27" t="str">
        <f aca="false">IF(A71="","",A71+7-WEEKDAY(A71,1)+1)</f>
        <v/>
      </c>
      <c r="C71" s="28"/>
      <c r="D71" s="29"/>
      <c r="E71" s="28"/>
      <c r="F71" s="28"/>
      <c r="G71" s="30"/>
      <c r="H71" s="31" t="str">
        <f aca="false">IF(E71="","",IFERROR(INDEX(Lists!$C$2:$C$86,MATCH(E71,Lists!$A$2:$A$86,0)),"?"))</f>
        <v/>
      </c>
      <c r="I71" s="32" t="str">
        <f aca="false">IF(OR(C71="",E71=""),"",IF(H71="Yes",IFERROR(INDEX(Employees!$E$4:$E$43,MATCH(C71,Employees!$B$4:$B$43,0)),0),0))</f>
        <v/>
      </c>
      <c r="J71" s="33" t="str">
        <f aca="false">IF(G71="","",IF(H71="Yes",G71*I71,0))</f>
        <v/>
      </c>
      <c r="K71" s="33" t="str">
        <f aca="false">IF(OR(C71="",G71=""),"",G71*IFERROR(INDEX(Employees!$F$4:$F$43,MATCH(C71,Employees!$B$4:$B$43,0)),0))</f>
        <v/>
      </c>
      <c r="L71" s="28"/>
    </row>
    <row r="72" customFormat="false" ht="15" hidden="false" customHeight="false" outlineLevel="0" collapsed="false">
      <c r="A72" s="26"/>
      <c r="B72" s="19" t="str">
        <f aca="false">IF(A72="","",A72+7-WEEKDAY(A72,1)+1)</f>
        <v/>
      </c>
      <c r="C72" s="28"/>
      <c r="D72" s="29"/>
      <c r="E72" s="28"/>
      <c r="F72" s="28"/>
      <c r="G72" s="30"/>
      <c r="H72" s="23" t="str">
        <f aca="false">IF(E72="","",IFERROR(INDEX(Lists!$C$2:$C$86,MATCH(E72,Lists!$A$2:$A$86,0)),"?"))</f>
        <v/>
      </c>
      <c r="I72" s="24" t="str">
        <f aca="false">IF(OR(C72="",E72=""),"",IF(H72="Yes",IFERROR(INDEX(Employees!$E$4:$E$43,MATCH(C72,Employees!$B$4:$B$43,0)),0),0))</f>
        <v/>
      </c>
      <c r="J72" s="25" t="str">
        <f aca="false">IF(G72="","",IF(H72="Yes",G72*I72,0))</f>
        <v/>
      </c>
      <c r="K72" s="25" t="str">
        <f aca="false">IF(OR(C72="",G72=""),"",G72*IFERROR(INDEX(Employees!$F$4:$F$43,MATCH(C72,Employees!$B$4:$B$43,0)),0))</f>
        <v/>
      </c>
      <c r="L72" s="28"/>
    </row>
    <row r="73" customFormat="false" ht="15" hidden="false" customHeight="false" outlineLevel="0" collapsed="false">
      <c r="A73" s="26"/>
      <c r="B73" s="27" t="str">
        <f aca="false">IF(A73="","",A73+7-WEEKDAY(A73,1)+1)</f>
        <v/>
      </c>
      <c r="C73" s="28"/>
      <c r="D73" s="29"/>
      <c r="E73" s="28"/>
      <c r="F73" s="28"/>
      <c r="G73" s="30"/>
      <c r="H73" s="31" t="str">
        <f aca="false">IF(E73="","",IFERROR(INDEX(Lists!$C$2:$C$86,MATCH(E73,Lists!$A$2:$A$86,0)),"?"))</f>
        <v/>
      </c>
      <c r="I73" s="32" t="str">
        <f aca="false">IF(OR(C73="",E73=""),"",IF(H73="Yes",IFERROR(INDEX(Employees!$E$4:$E$43,MATCH(C73,Employees!$B$4:$B$43,0)),0),0))</f>
        <v/>
      </c>
      <c r="J73" s="33" t="str">
        <f aca="false">IF(G73="","",IF(H73="Yes",G73*I73,0))</f>
        <v/>
      </c>
      <c r="K73" s="33" t="str">
        <f aca="false">IF(OR(C73="",G73=""),"",G73*IFERROR(INDEX(Employees!$F$4:$F$43,MATCH(C73,Employees!$B$4:$B$43,0)),0))</f>
        <v/>
      </c>
      <c r="L73" s="28"/>
    </row>
    <row r="74" customFormat="false" ht="15" hidden="false" customHeight="false" outlineLevel="0" collapsed="false">
      <c r="A74" s="26"/>
      <c r="B74" s="19" t="str">
        <f aca="false">IF(A74="","",A74+7-WEEKDAY(A74,1)+1)</f>
        <v/>
      </c>
      <c r="C74" s="28"/>
      <c r="D74" s="29"/>
      <c r="E74" s="28"/>
      <c r="F74" s="28"/>
      <c r="G74" s="30"/>
      <c r="H74" s="23" t="str">
        <f aca="false">IF(E74="","",IFERROR(INDEX(Lists!$C$2:$C$86,MATCH(E74,Lists!$A$2:$A$86,0)),"?"))</f>
        <v/>
      </c>
      <c r="I74" s="24" t="str">
        <f aca="false">IF(OR(C74="",E74=""),"",IF(H74="Yes",IFERROR(INDEX(Employees!$E$4:$E$43,MATCH(C74,Employees!$B$4:$B$43,0)),0),0))</f>
        <v/>
      </c>
      <c r="J74" s="25" t="str">
        <f aca="false">IF(G74="","",IF(H74="Yes",G74*I74,0))</f>
        <v/>
      </c>
      <c r="K74" s="25" t="str">
        <f aca="false">IF(OR(C74="",G74=""),"",G74*IFERROR(INDEX(Employees!$F$4:$F$43,MATCH(C74,Employees!$B$4:$B$43,0)),0))</f>
        <v/>
      </c>
      <c r="L74" s="28"/>
    </row>
    <row r="75" customFormat="false" ht="15" hidden="false" customHeight="false" outlineLevel="0" collapsed="false">
      <c r="A75" s="26"/>
      <c r="B75" s="27" t="str">
        <f aca="false">IF(A75="","",A75+7-WEEKDAY(A75,1)+1)</f>
        <v/>
      </c>
      <c r="C75" s="28"/>
      <c r="D75" s="29"/>
      <c r="E75" s="28"/>
      <c r="F75" s="28"/>
      <c r="G75" s="30"/>
      <c r="H75" s="31" t="str">
        <f aca="false">IF(E75="","",IFERROR(INDEX(Lists!$C$2:$C$86,MATCH(E75,Lists!$A$2:$A$86,0)),"?"))</f>
        <v/>
      </c>
      <c r="I75" s="32" t="str">
        <f aca="false">IF(OR(C75="",E75=""),"",IF(H75="Yes",IFERROR(INDEX(Employees!$E$4:$E$43,MATCH(C75,Employees!$B$4:$B$43,0)),0),0))</f>
        <v/>
      </c>
      <c r="J75" s="33" t="str">
        <f aca="false">IF(G75="","",IF(H75="Yes",G75*I75,0))</f>
        <v/>
      </c>
      <c r="K75" s="33" t="str">
        <f aca="false">IF(OR(C75="",G75=""),"",G75*IFERROR(INDEX(Employees!$F$4:$F$43,MATCH(C75,Employees!$B$4:$B$43,0)),0))</f>
        <v/>
      </c>
      <c r="L75" s="28"/>
    </row>
    <row r="76" customFormat="false" ht="15" hidden="false" customHeight="false" outlineLevel="0" collapsed="false">
      <c r="A76" s="26"/>
      <c r="B76" s="19" t="str">
        <f aca="false">IF(A76="","",A76+7-WEEKDAY(A76,1)+1)</f>
        <v/>
      </c>
      <c r="C76" s="28"/>
      <c r="D76" s="29"/>
      <c r="E76" s="28"/>
      <c r="F76" s="28"/>
      <c r="G76" s="30"/>
      <c r="H76" s="23" t="str">
        <f aca="false">IF(E76="","",IFERROR(INDEX(Lists!$C$2:$C$86,MATCH(E76,Lists!$A$2:$A$86,0)),"?"))</f>
        <v/>
      </c>
      <c r="I76" s="24" t="str">
        <f aca="false">IF(OR(C76="",E76=""),"",IF(H76="Yes",IFERROR(INDEX(Employees!$E$4:$E$43,MATCH(C76,Employees!$B$4:$B$43,0)),0),0))</f>
        <v/>
      </c>
      <c r="J76" s="25" t="str">
        <f aca="false">IF(G76="","",IF(H76="Yes",G76*I76,0))</f>
        <v/>
      </c>
      <c r="K76" s="25" t="str">
        <f aca="false">IF(OR(C76="",G76=""),"",G76*IFERROR(INDEX(Employees!$F$4:$F$43,MATCH(C76,Employees!$B$4:$B$43,0)),0))</f>
        <v/>
      </c>
      <c r="L76" s="28"/>
    </row>
    <row r="77" customFormat="false" ht="15" hidden="false" customHeight="false" outlineLevel="0" collapsed="false">
      <c r="A77" s="26"/>
      <c r="B77" s="27" t="str">
        <f aca="false">IF(A77="","",A77+7-WEEKDAY(A77,1)+1)</f>
        <v/>
      </c>
      <c r="C77" s="28"/>
      <c r="D77" s="29"/>
      <c r="E77" s="28"/>
      <c r="F77" s="28"/>
      <c r="G77" s="30"/>
      <c r="H77" s="31" t="str">
        <f aca="false">IF(E77="","",IFERROR(INDEX(Lists!$C$2:$C$86,MATCH(E77,Lists!$A$2:$A$86,0)),"?"))</f>
        <v/>
      </c>
      <c r="I77" s="32" t="str">
        <f aca="false">IF(OR(C77="",E77=""),"",IF(H77="Yes",IFERROR(INDEX(Employees!$E$4:$E$43,MATCH(C77,Employees!$B$4:$B$43,0)),0),0))</f>
        <v/>
      </c>
      <c r="J77" s="33" t="str">
        <f aca="false">IF(G77="","",IF(H77="Yes",G77*I77,0))</f>
        <v/>
      </c>
      <c r="K77" s="33" t="str">
        <f aca="false">IF(OR(C77="",G77=""),"",G77*IFERROR(INDEX(Employees!$F$4:$F$43,MATCH(C77,Employees!$B$4:$B$43,0)),0))</f>
        <v/>
      </c>
      <c r="L77" s="28"/>
    </row>
    <row r="78" customFormat="false" ht="15" hidden="false" customHeight="false" outlineLevel="0" collapsed="false">
      <c r="A78" s="26"/>
      <c r="B78" s="19" t="str">
        <f aca="false">IF(A78="","",A78+7-WEEKDAY(A78,1)+1)</f>
        <v/>
      </c>
      <c r="C78" s="28"/>
      <c r="D78" s="29"/>
      <c r="E78" s="28"/>
      <c r="F78" s="28"/>
      <c r="G78" s="30"/>
      <c r="H78" s="23" t="str">
        <f aca="false">IF(E78="","",IFERROR(INDEX(Lists!$C$2:$C$86,MATCH(E78,Lists!$A$2:$A$86,0)),"?"))</f>
        <v/>
      </c>
      <c r="I78" s="24" t="str">
        <f aca="false">IF(OR(C78="",E78=""),"",IF(H78="Yes",IFERROR(INDEX(Employees!$E$4:$E$43,MATCH(C78,Employees!$B$4:$B$43,0)),0),0))</f>
        <v/>
      </c>
      <c r="J78" s="25" t="str">
        <f aca="false">IF(G78="","",IF(H78="Yes",G78*I78,0))</f>
        <v/>
      </c>
      <c r="K78" s="25" t="str">
        <f aca="false">IF(OR(C78="",G78=""),"",G78*IFERROR(INDEX(Employees!$F$4:$F$43,MATCH(C78,Employees!$B$4:$B$43,0)),0))</f>
        <v/>
      </c>
      <c r="L78" s="28"/>
    </row>
    <row r="79" customFormat="false" ht="15" hidden="false" customHeight="false" outlineLevel="0" collapsed="false">
      <c r="A79" s="26"/>
      <c r="B79" s="27" t="str">
        <f aca="false">IF(A79="","",A79+7-WEEKDAY(A79,1)+1)</f>
        <v/>
      </c>
      <c r="C79" s="28"/>
      <c r="D79" s="29"/>
      <c r="E79" s="28"/>
      <c r="F79" s="28"/>
      <c r="G79" s="30"/>
      <c r="H79" s="31" t="str">
        <f aca="false">IF(E79="","",IFERROR(INDEX(Lists!$C$2:$C$86,MATCH(E79,Lists!$A$2:$A$86,0)),"?"))</f>
        <v/>
      </c>
      <c r="I79" s="32" t="str">
        <f aca="false">IF(OR(C79="",E79=""),"",IF(H79="Yes",IFERROR(INDEX(Employees!$E$4:$E$43,MATCH(C79,Employees!$B$4:$B$43,0)),0),0))</f>
        <v/>
      </c>
      <c r="J79" s="33" t="str">
        <f aca="false">IF(G79="","",IF(H79="Yes",G79*I79,0))</f>
        <v/>
      </c>
      <c r="K79" s="33" t="str">
        <f aca="false">IF(OR(C79="",G79=""),"",G79*IFERROR(INDEX(Employees!$F$4:$F$43,MATCH(C79,Employees!$B$4:$B$43,0)),0))</f>
        <v/>
      </c>
      <c r="L79" s="28"/>
    </row>
    <row r="80" customFormat="false" ht="15" hidden="false" customHeight="false" outlineLevel="0" collapsed="false">
      <c r="A80" s="26"/>
      <c r="B80" s="19" t="str">
        <f aca="false">IF(A80="","",A80+7-WEEKDAY(A80,1)+1)</f>
        <v/>
      </c>
      <c r="C80" s="28"/>
      <c r="D80" s="29"/>
      <c r="E80" s="28"/>
      <c r="F80" s="28"/>
      <c r="G80" s="30"/>
      <c r="H80" s="23" t="str">
        <f aca="false">IF(E80="","",IFERROR(INDEX(Lists!$C$2:$C$86,MATCH(E80,Lists!$A$2:$A$86,0)),"?"))</f>
        <v/>
      </c>
      <c r="I80" s="24" t="str">
        <f aca="false">IF(OR(C80="",E80=""),"",IF(H80="Yes",IFERROR(INDEX(Employees!$E$4:$E$43,MATCH(C80,Employees!$B$4:$B$43,0)),0),0))</f>
        <v/>
      </c>
      <c r="J80" s="25" t="str">
        <f aca="false">IF(G80="","",IF(H80="Yes",G80*I80,0))</f>
        <v/>
      </c>
      <c r="K80" s="25" t="str">
        <f aca="false">IF(OR(C80="",G80=""),"",G80*IFERROR(INDEX(Employees!$F$4:$F$43,MATCH(C80,Employees!$B$4:$B$43,0)),0))</f>
        <v/>
      </c>
      <c r="L80" s="28"/>
    </row>
    <row r="81" customFormat="false" ht="15" hidden="false" customHeight="false" outlineLevel="0" collapsed="false">
      <c r="A81" s="26"/>
      <c r="B81" s="27" t="str">
        <f aca="false">IF(A81="","",A81+7-WEEKDAY(A81,1)+1)</f>
        <v/>
      </c>
      <c r="C81" s="28"/>
      <c r="D81" s="29"/>
      <c r="E81" s="28"/>
      <c r="F81" s="28"/>
      <c r="G81" s="30"/>
      <c r="H81" s="31" t="str">
        <f aca="false">IF(E81="","",IFERROR(INDEX(Lists!$C$2:$C$86,MATCH(E81,Lists!$A$2:$A$86,0)),"?"))</f>
        <v/>
      </c>
      <c r="I81" s="32" t="str">
        <f aca="false">IF(OR(C81="",E81=""),"",IF(H81="Yes",IFERROR(INDEX(Employees!$E$4:$E$43,MATCH(C81,Employees!$B$4:$B$43,0)),0),0))</f>
        <v/>
      </c>
      <c r="J81" s="33" t="str">
        <f aca="false">IF(G81="","",IF(H81="Yes",G81*I81,0))</f>
        <v/>
      </c>
      <c r="K81" s="33" t="str">
        <f aca="false">IF(OR(C81="",G81=""),"",G81*IFERROR(INDEX(Employees!$F$4:$F$43,MATCH(C81,Employees!$B$4:$B$43,0)),0))</f>
        <v/>
      </c>
      <c r="L81" s="28"/>
    </row>
    <row r="82" customFormat="false" ht="15" hidden="false" customHeight="false" outlineLevel="0" collapsed="false">
      <c r="A82" s="26"/>
      <c r="B82" s="19" t="str">
        <f aca="false">IF(A82="","",A82+7-WEEKDAY(A82,1)+1)</f>
        <v/>
      </c>
      <c r="C82" s="28"/>
      <c r="D82" s="29"/>
      <c r="E82" s="28"/>
      <c r="F82" s="28"/>
      <c r="G82" s="30"/>
      <c r="H82" s="23" t="str">
        <f aca="false">IF(E82="","",IFERROR(INDEX(Lists!$C$2:$C$86,MATCH(E82,Lists!$A$2:$A$86,0)),"?"))</f>
        <v/>
      </c>
      <c r="I82" s="24" t="str">
        <f aca="false">IF(OR(C82="",E82=""),"",IF(H82="Yes",IFERROR(INDEX(Employees!$E$4:$E$43,MATCH(C82,Employees!$B$4:$B$43,0)),0),0))</f>
        <v/>
      </c>
      <c r="J82" s="25" t="str">
        <f aca="false">IF(G82="","",IF(H82="Yes",G82*I82,0))</f>
        <v/>
      </c>
      <c r="K82" s="25" t="str">
        <f aca="false">IF(OR(C82="",G82=""),"",G82*IFERROR(INDEX(Employees!$F$4:$F$43,MATCH(C82,Employees!$B$4:$B$43,0)),0))</f>
        <v/>
      </c>
      <c r="L82" s="28"/>
    </row>
    <row r="83" customFormat="false" ht="15" hidden="false" customHeight="false" outlineLevel="0" collapsed="false">
      <c r="A83" s="26"/>
      <c r="B83" s="27" t="str">
        <f aca="false">IF(A83="","",A83+7-WEEKDAY(A83,1)+1)</f>
        <v/>
      </c>
      <c r="C83" s="28"/>
      <c r="D83" s="29"/>
      <c r="E83" s="28"/>
      <c r="F83" s="28"/>
      <c r="G83" s="30"/>
      <c r="H83" s="31" t="str">
        <f aca="false">IF(E83="","",IFERROR(INDEX(Lists!$C$2:$C$86,MATCH(E83,Lists!$A$2:$A$86,0)),"?"))</f>
        <v/>
      </c>
      <c r="I83" s="32" t="str">
        <f aca="false">IF(OR(C83="",E83=""),"",IF(H83="Yes",IFERROR(INDEX(Employees!$E$4:$E$43,MATCH(C83,Employees!$B$4:$B$43,0)),0),0))</f>
        <v/>
      </c>
      <c r="J83" s="33" t="str">
        <f aca="false">IF(G83="","",IF(H83="Yes",G83*I83,0))</f>
        <v/>
      </c>
      <c r="K83" s="33" t="str">
        <f aca="false">IF(OR(C83="",G83=""),"",G83*IFERROR(INDEX(Employees!$F$4:$F$43,MATCH(C83,Employees!$B$4:$B$43,0)),0))</f>
        <v/>
      </c>
      <c r="L83" s="28"/>
    </row>
    <row r="84" customFormat="false" ht="15" hidden="false" customHeight="false" outlineLevel="0" collapsed="false">
      <c r="A84" s="26"/>
      <c r="B84" s="19" t="str">
        <f aca="false">IF(A84="","",A84+7-WEEKDAY(A84,1)+1)</f>
        <v/>
      </c>
      <c r="C84" s="28"/>
      <c r="D84" s="29"/>
      <c r="E84" s="28"/>
      <c r="F84" s="28"/>
      <c r="G84" s="30"/>
      <c r="H84" s="23" t="str">
        <f aca="false">IF(E84="","",IFERROR(INDEX(Lists!$C$2:$C$86,MATCH(E84,Lists!$A$2:$A$86,0)),"?"))</f>
        <v/>
      </c>
      <c r="I84" s="24" t="str">
        <f aca="false">IF(OR(C84="",E84=""),"",IF(H84="Yes",IFERROR(INDEX(Employees!$E$4:$E$43,MATCH(C84,Employees!$B$4:$B$43,0)),0),0))</f>
        <v/>
      </c>
      <c r="J84" s="25" t="str">
        <f aca="false">IF(G84="","",IF(H84="Yes",G84*I84,0))</f>
        <v/>
      </c>
      <c r="K84" s="25" t="str">
        <f aca="false">IF(OR(C84="",G84=""),"",G84*IFERROR(INDEX(Employees!$F$4:$F$43,MATCH(C84,Employees!$B$4:$B$43,0)),0))</f>
        <v/>
      </c>
      <c r="L84" s="28"/>
    </row>
    <row r="85" customFormat="false" ht="15" hidden="false" customHeight="false" outlineLevel="0" collapsed="false">
      <c r="A85" s="26"/>
      <c r="B85" s="27" t="str">
        <f aca="false">IF(A85="","",A85+7-WEEKDAY(A85,1)+1)</f>
        <v/>
      </c>
      <c r="C85" s="28"/>
      <c r="D85" s="29"/>
      <c r="E85" s="28"/>
      <c r="F85" s="28"/>
      <c r="G85" s="30"/>
      <c r="H85" s="31" t="str">
        <f aca="false">IF(E85="","",IFERROR(INDEX(Lists!$C$2:$C$86,MATCH(E85,Lists!$A$2:$A$86,0)),"?"))</f>
        <v/>
      </c>
      <c r="I85" s="32" t="str">
        <f aca="false">IF(OR(C85="",E85=""),"",IF(H85="Yes",IFERROR(INDEX(Employees!$E$4:$E$43,MATCH(C85,Employees!$B$4:$B$43,0)),0),0))</f>
        <v/>
      </c>
      <c r="J85" s="33" t="str">
        <f aca="false">IF(G85="","",IF(H85="Yes",G85*I85,0))</f>
        <v/>
      </c>
      <c r="K85" s="33" t="str">
        <f aca="false">IF(OR(C85="",G85=""),"",G85*IFERROR(INDEX(Employees!$F$4:$F$43,MATCH(C85,Employees!$B$4:$B$43,0)),0))</f>
        <v/>
      </c>
      <c r="L85" s="28"/>
    </row>
    <row r="86" customFormat="false" ht="15" hidden="false" customHeight="false" outlineLevel="0" collapsed="false">
      <c r="A86" s="26"/>
      <c r="B86" s="19" t="str">
        <f aca="false">IF(A86="","",A86+7-WEEKDAY(A86,1)+1)</f>
        <v/>
      </c>
      <c r="C86" s="28"/>
      <c r="D86" s="29"/>
      <c r="E86" s="28"/>
      <c r="F86" s="28"/>
      <c r="G86" s="30"/>
      <c r="H86" s="23" t="str">
        <f aca="false">IF(E86="","",IFERROR(INDEX(Lists!$C$2:$C$86,MATCH(E86,Lists!$A$2:$A$86,0)),"?"))</f>
        <v/>
      </c>
      <c r="I86" s="24" t="str">
        <f aca="false">IF(OR(C86="",E86=""),"",IF(H86="Yes",IFERROR(INDEX(Employees!$E$4:$E$43,MATCH(C86,Employees!$B$4:$B$43,0)),0),0))</f>
        <v/>
      </c>
      <c r="J86" s="25" t="str">
        <f aca="false">IF(G86="","",IF(H86="Yes",G86*I86,0))</f>
        <v/>
      </c>
      <c r="K86" s="25" t="str">
        <f aca="false">IF(OR(C86="",G86=""),"",G86*IFERROR(INDEX(Employees!$F$4:$F$43,MATCH(C86,Employees!$B$4:$B$43,0)),0))</f>
        <v/>
      </c>
      <c r="L86" s="28"/>
    </row>
    <row r="87" customFormat="false" ht="15" hidden="false" customHeight="false" outlineLevel="0" collapsed="false">
      <c r="A87" s="26"/>
      <c r="B87" s="27" t="str">
        <f aca="false">IF(A87="","",A87+7-WEEKDAY(A87,1)+1)</f>
        <v/>
      </c>
      <c r="C87" s="28"/>
      <c r="D87" s="29"/>
      <c r="E87" s="28"/>
      <c r="F87" s="28"/>
      <c r="G87" s="30"/>
      <c r="H87" s="31" t="str">
        <f aca="false">IF(E87="","",IFERROR(INDEX(Lists!$C$2:$C$86,MATCH(E87,Lists!$A$2:$A$86,0)),"?"))</f>
        <v/>
      </c>
      <c r="I87" s="32" t="str">
        <f aca="false">IF(OR(C87="",E87=""),"",IF(H87="Yes",IFERROR(INDEX(Employees!$E$4:$E$43,MATCH(C87,Employees!$B$4:$B$43,0)),0),0))</f>
        <v/>
      </c>
      <c r="J87" s="33" t="str">
        <f aca="false">IF(G87="","",IF(H87="Yes",G87*I87,0))</f>
        <v/>
      </c>
      <c r="K87" s="33" t="str">
        <f aca="false">IF(OR(C87="",G87=""),"",G87*IFERROR(INDEX(Employees!$F$4:$F$43,MATCH(C87,Employees!$B$4:$B$43,0)),0))</f>
        <v/>
      </c>
      <c r="L87" s="28"/>
    </row>
    <row r="88" customFormat="false" ht="15" hidden="false" customHeight="false" outlineLevel="0" collapsed="false">
      <c r="A88" s="26"/>
      <c r="B88" s="19" t="str">
        <f aca="false">IF(A88="","",A88+7-WEEKDAY(A88,1)+1)</f>
        <v/>
      </c>
      <c r="C88" s="28"/>
      <c r="D88" s="29"/>
      <c r="E88" s="28"/>
      <c r="F88" s="28"/>
      <c r="G88" s="30"/>
      <c r="H88" s="23" t="str">
        <f aca="false">IF(E88="","",IFERROR(INDEX(Lists!$C$2:$C$86,MATCH(E88,Lists!$A$2:$A$86,0)),"?"))</f>
        <v/>
      </c>
      <c r="I88" s="24" t="str">
        <f aca="false">IF(OR(C88="",E88=""),"",IF(H88="Yes",IFERROR(INDEX(Employees!$E$4:$E$43,MATCH(C88,Employees!$B$4:$B$43,0)),0),0))</f>
        <v/>
      </c>
      <c r="J88" s="25" t="str">
        <f aca="false">IF(G88="","",IF(H88="Yes",G88*I88,0))</f>
        <v/>
      </c>
      <c r="K88" s="25" t="str">
        <f aca="false">IF(OR(C88="",G88=""),"",G88*IFERROR(INDEX(Employees!$F$4:$F$43,MATCH(C88,Employees!$B$4:$B$43,0)),0))</f>
        <v/>
      </c>
      <c r="L88" s="28"/>
    </row>
    <row r="89" customFormat="false" ht="15" hidden="false" customHeight="false" outlineLevel="0" collapsed="false">
      <c r="A89" s="26"/>
      <c r="B89" s="27" t="str">
        <f aca="false">IF(A89="","",A89+7-WEEKDAY(A89,1)+1)</f>
        <v/>
      </c>
      <c r="C89" s="28"/>
      <c r="D89" s="29"/>
      <c r="E89" s="28"/>
      <c r="F89" s="28"/>
      <c r="G89" s="30"/>
      <c r="H89" s="31" t="str">
        <f aca="false">IF(E89="","",IFERROR(INDEX(Lists!$C$2:$C$86,MATCH(E89,Lists!$A$2:$A$86,0)),"?"))</f>
        <v/>
      </c>
      <c r="I89" s="32" t="str">
        <f aca="false">IF(OR(C89="",E89=""),"",IF(H89="Yes",IFERROR(INDEX(Employees!$E$4:$E$43,MATCH(C89,Employees!$B$4:$B$43,0)),0),0))</f>
        <v/>
      </c>
      <c r="J89" s="33" t="str">
        <f aca="false">IF(G89="","",IF(H89="Yes",G89*I89,0))</f>
        <v/>
      </c>
      <c r="K89" s="33" t="str">
        <f aca="false">IF(OR(C89="",G89=""),"",G89*IFERROR(INDEX(Employees!$F$4:$F$43,MATCH(C89,Employees!$B$4:$B$43,0)),0))</f>
        <v/>
      </c>
      <c r="L89" s="28"/>
    </row>
    <row r="90" customFormat="false" ht="15" hidden="false" customHeight="false" outlineLevel="0" collapsed="false">
      <c r="A90" s="26"/>
      <c r="B90" s="19" t="str">
        <f aca="false">IF(A90="","",A90+7-WEEKDAY(A90,1)+1)</f>
        <v/>
      </c>
      <c r="C90" s="28"/>
      <c r="D90" s="29"/>
      <c r="E90" s="28"/>
      <c r="F90" s="28"/>
      <c r="G90" s="30"/>
      <c r="H90" s="23" t="str">
        <f aca="false">IF(E90="","",IFERROR(INDEX(Lists!$C$2:$C$86,MATCH(E90,Lists!$A$2:$A$86,0)),"?"))</f>
        <v/>
      </c>
      <c r="I90" s="24" t="str">
        <f aca="false">IF(OR(C90="",E90=""),"",IF(H90="Yes",IFERROR(INDEX(Employees!$E$4:$E$43,MATCH(C90,Employees!$B$4:$B$43,0)),0),0))</f>
        <v/>
      </c>
      <c r="J90" s="25" t="str">
        <f aca="false">IF(G90="","",IF(H90="Yes",G90*I90,0))</f>
        <v/>
      </c>
      <c r="K90" s="25" t="str">
        <f aca="false">IF(OR(C90="",G90=""),"",G90*IFERROR(INDEX(Employees!$F$4:$F$43,MATCH(C90,Employees!$B$4:$B$43,0)),0))</f>
        <v/>
      </c>
      <c r="L90" s="28"/>
    </row>
    <row r="91" customFormat="false" ht="15" hidden="false" customHeight="false" outlineLevel="0" collapsed="false">
      <c r="A91" s="26"/>
      <c r="B91" s="27" t="str">
        <f aca="false">IF(A91="","",A91+7-WEEKDAY(A91,1)+1)</f>
        <v/>
      </c>
      <c r="C91" s="28"/>
      <c r="D91" s="29"/>
      <c r="E91" s="28"/>
      <c r="F91" s="28"/>
      <c r="G91" s="30"/>
      <c r="H91" s="31" t="str">
        <f aca="false">IF(E91="","",IFERROR(INDEX(Lists!$C$2:$C$86,MATCH(E91,Lists!$A$2:$A$86,0)),"?"))</f>
        <v/>
      </c>
      <c r="I91" s="32" t="str">
        <f aca="false">IF(OR(C91="",E91=""),"",IF(H91="Yes",IFERROR(INDEX(Employees!$E$4:$E$43,MATCH(C91,Employees!$B$4:$B$43,0)),0),0))</f>
        <v/>
      </c>
      <c r="J91" s="33" t="str">
        <f aca="false">IF(G91="","",IF(H91="Yes",G91*I91,0))</f>
        <v/>
      </c>
      <c r="K91" s="33" t="str">
        <f aca="false">IF(OR(C91="",G91=""),"",G91*IFERROR(INDEX(Employees!$F$4:$F$43,MATCH(C91,Employees!$B$4:$B$43,0)),0))</f>
        <v/>
      </c>
      <c r="L91" s="28"/>
    </row>
    <row r="92" customFormat="false" ht="15" hidden="false" customHeight="false" outlineLevel="0" collapsed="false">
      <c r="A92" s="26"/>
      <c r="B92" s="19" t="str">
        <f aca="false">IF(A92="","",A92+7-WEEKDAY(A92,1)+1)</f>
        <v/>
      </c>
      <c r="C92" s="28"/>
      <c r="D92" s="29"/>
      <c r="E92" s="28"/>
      <c r="F92" s="28"/>
      <c r="G92" s="30"/>
      <c r="H92" s="23" t="str">
        <f aca="false">IF(E92="","",IFERROR(INDEX(Lists!$C$2:$C$86,MATCH(E92,Lists!$A$2:$A$86,0)),"?"))</f>
        <v/>
      </c>
      <c r="I92" s="24" t="str">
        <f aca="false">IF(OR(C92="",E92=""),"",IF(H92="Yes",IFERROR(INDEX(Employees!$E$4:$E$43,MATCH(C92,Employees!$B$4:$B$43,0)),0),0))</f>
        <v/>
      </c>
      <c r="J92" s="25" t="str">
        <f aca="false">IF(G92="","",IF(H92="Yes",G92*I92,0))</f>
        <v/>
      </c>
      <c r="K92" s="25" t="str">
        <f aca="false">IF(OR(C92="",G92=""),"",G92*IFERROR(INDEX(Employees!$F$4:$F$43,MATCH(C92,Employees!$B$4:$B$43,0)),0))</f>
        <v/>
      </c>
      <c r="L92" s="28"/>
    </row>
    <row r="93" customFormat="false" ht="15" hidden="false" customHeight="false" outlineLevel="0" collapsed="false">
      <c r="A93" s="26"/>
      <c r="B93" s="27" t="str">
        <f aca="false">IF(A93="","",A93+7-WEEKDAY(A93,1)+1)</f>
        <v/>
      </c>
      <c r="C93" s="28"/>
      <c r="D93" s="29"/>
      <c r="E93" s="28"/>
      <c r="F93" s="28"/>
      <c r="G93" s="30"/>
      <c r="H93" s="31" t="str">
        <f aca="false">IF(E93="","",IFERROR(INDEX(Lists!$C$2:$C$86,MATCH(E93,Lists!$A$2:$A$86,0)),"?"))</f>
        <v/>
      </c>
      <c r="I93" s="32" t="str">
        <f aca="false">IF(OR(C93="",E93=""),"",IF(H93="Yes",IFERROR(INDEX(Employees!$E$4:$E$43,MATCH(C93,Employees!$B$4:$B$43,0)),0),0))</f>
        <v/>
      </c>
      <c r="J93" s="33" t="str">
        <f aca="false">IF(G93="","",IF(H93="Yes",G93*I93,0))</f>
        <v/>
      </c>
      <c r="K93" s="33" t="str">
        <f aca="false">IF(OR(C93="",G93=""),"",G93*IFERROR(INDEX(Employees!$F$4:$F$43,MATCH(C93,Employees!$B$4:$B$43,0)),0))</f>
        <v/>
      </c>
      <c r="L93" s="28"/>
    </row>
    <row r="94" customFormat="false" ht="15" hidden="false" customHeight="false" outlineLevel="0" collapsed="false">
      <c r="A94" s="26"/>
      <c r="B94" s="19" t="str">
        <f aca="false">IF(A94="","",A94+7-WEEKDAY(A94,1)+1)</f>
        <v/>
      </c>
      <c r="C94" s="28"/>
      <c r="D94" s="29"/>
      <c r="E94" s="28"/>
      <c r="F94" s="28"/>
      <c r="G94" s="30"/>
      <c r="H94" s="23" t="str">
        <f aca="false">IF(E94="","",IFERROR(INDEX(Lists!$C$2:$C$86,MATCH(E94,Lists!$A$2:$A$86,0)),"?"))</f>
        <v/>
      </c>
      <c r="I94" s="24" t="str">
        <f aca="false">IF(OR(C94="",E94=""),"",IF(H94="Yes",IFERROR(INDEX(Employees!$E$4:$E$43,MATCH(C94,Employees!$B$4:$B$43,0)),0),0))</f>
        <v/>
      </c>
      <c r="J94" s="25" t="str">
        <f aca="false">IF(G94="","",IF(H94="Yes",G94*I94,0))</f>
        <v/>
      </c>
      <c r="K94" s="25" t="str">
        <f aca="false">IF(OR(C94="",G94=""),"",G94*IFERROR(INDEX(Employees!$F$4:$F$43,MATCH(C94,Employees!$B$4:$B$43,0)),0))</f>
        <v/>
      </c>
      <c r="L94" s="28"/>
    </row>
    <row r="95" customFormat="false" ht="15" hidden="false" customHeight="false" outlineLevel="0" collapsed="false">
      <c r="A95" s="26"/>
      <c r="B95" s="27" t="str">
        <f aca="false">IF(A95="","",A95+7-WEEKDAY(A95,1)+1)</f>
        <v/>
      </c>
      <c r="C95" s="28"/>
      <c r="D95" s="29"/>
      <c r="E95" s="28"/>
      <c r="F95" s="28"/>
      <c r="G95" s="30"/>
      <c r="H95" s="31" t="str">
        <f aca="false">IF(E95="","",IFERROR(INDEX(Lists!$C$2:$C$86,MATCH(E95,Lists!$A$2:$A$86,0)),"?"))</f>
        <v/>
      </c>
      <c r="I95" s="32" t="str">
        <f aca="false">IF(OR(C95="",E95=""),"",IF(H95="Yes",IFERROR(INDEX(Employees!$E$4:$E$43,MATCH(C95,Employees!$B$4:$B$43,0)),0),0))</f>
        <v/>
      </c>
      <c r="J95" s="33" t="str">
        <f aca="false">IF(G95="","",IF(H95="Yes",G95*I95,0))</f>
        <v/>
      </c>
      <c r="K95" s="33" t="str">
        <f aca="false">IF(OR(C95="",G95=""),"",G95*IFERROR(INDEX(Employees!$F$4:$F$43,MATCH(C95,Employees!$B$4:$B$43,0)),0))</f>
        <v/>
      </c>
      <c r="L95" s="28"/>
    </row>
    <row r="96" customFormat="false" ht="15" hidden="false" customHeight="false" outlineLevel="0" collapsed="false">
      <c r="A96" s="26"/>
      <c r="B96" s="19" t="str">
        <f aca="false">IF(A96="","",A96+7-WEEKDAY(A96,1)+1)</f>
        <v/>
      </c>
      <c r="C96" s="28"/>
      <c r="D96" s="29"/>
      <c r="E96" s="28"/>
      <c r="F96" s="28"/>
      <c r="G96" s="30"/>
      <c r="H96" s="23" t="str">
        <f aca="false">IF(E96="","",IFERROR(INDEX(Lists!$C$2:$C$86,MATCH(E96,Lists!$A$2:$A$86,0)),"?"))</f>
        <v/>
      </c>
      <c r="I96" s="24" t="str">
        <f aca="false">IF(OR(C96="",E96=""),"",IF(H96="Yes",IFERROR(INDEX(Employees!$E$4:$E$43,MATCH(C96,Employees!$B$4:$B$43,0)),0),0))</f>
        <v/>
      </c>
      <c r="J96" s="25" t="str">
        <f aca="false">IF(G96="","",IF(H96="Yes",G96*I96,0))</f>
        <v/>
      </c>
      <c r="K96" s="25" t="str">
        <f aca="false">IF(OR(C96="",G96=""),"",G96*IFERROR(INDEX(Employees!$F$4:$F$43,MATCH(C96,Employees!$B$4:$B$43,0)),0))</f>
        <v/>
      </c>
      <c r="L96" s="28"/>
    </row>
    <row r="97" customFormat="false" ht="15" hidden="false" customHeight="false" outlineLevel="0" collapsed="false">
      <c r="A97" s="26"/>
      <c r="B97" s="27" t="str">
        <f aca="false">IF(A97="","",A97+7-WEEKDAY(A97,1)+1)</f>
        <v/>
      </c>
      <c r="C97" s="28"/>
      <c r="D97" s="29"/>
      <c r="E97" s="28"/>
      <c r="F97" s="28"/>
      <c r="G97" s="30"/>
      <c r="H97" s="31" t="str">
        <f aca="false">IF(E97="","",IFERROR(INDEX(Lists!$C$2:$C$86,MATCH(E97,Lists!$A$2:$A$86,0)),"?"))</f>
        <v/>
      </c>
      <c r="I97" s="32" t="str">
        <f aca="false">IF(OR(C97="",E97=""),"",IF(H97="Yes",IFERROR(INDEX(Employees!$E$4:$E$43,MATCH(C97,Employees!$B$4:$B$43,0)),0),0))</f>
        <v/>
      </c>
      <c r="J97" s="33" t="str">
        <f aca="false">IF(G97="","",IF(H97="Yes",G97*I97,0))</f>
        <v/>
      </c>
      <c r="K97" s="33" t="str">
        <f aca="false">IF(OR(C97="",G97=""),"",G97*IFERROR(INDEX(Employees!$F$4:$F$43,MATCH(C97,Employees!$B$4:$B$43,0)),0))</f>
        <v/>
      </c>
      <c r="L97" s="28"/>
    </row>
    <row r="98" customFormat="false" ht="15" hidden="false" customHeight="false" outlineLevel="0" collapsed="false">
      <c r="A98" s="26"/>
      <c r="B98" s="19" t="str">
        <f aca="false">IF(A98="","",A98+7-WEEKDAY(A98,1)+1)</f>
        <v/>
      </c>
      <c r="C98" s="28"/>
      <c r="D98" s="29"/>
      <c r="E98" s="28"/>
      <c r="F98" s="28"/>
      <c r="G98" s="30"/>
      <c r="H98" s="23" t="str">
        <f aca="false">IF(E98="","",IFERROR(INDEX(Lists!$C$2:$C$86,MATCH(E98,Lists!$A$2:$A$86,0)),"?"))</f>
        <v/>
      </c>
      <c r="I98" s="24" t="str">
        <f aca="false">IF(OR(C98="",E98=""),"",IF(H98="Yes",IFERROR(INDEX(Employees!$E$4:$E$43,MATCH(C98,Employees!$B$4:$B$43,0)),0),0))</f>
        <v/>
      </c>
      <c r="J98" s="25" t="str">
        <f aca="false">IF(G98="","",IF(H98="Yes",G98*I98,0))</f>
        <v/>
      </c>
      <c r="K98" s="25" t="str">
        <f aca="false">IF(OR(C98="",G98=""),"",G98*IFERROR(INDEX(Employees!$F$4:$F$43,MATCH(C98,Employees!$B$4:$B$43,0)),0))</f>
        <v/>
      </c>
      <c r="L98" s="28"/>
    </row>
    <row r="99" customFormat="false" ht="15" hidden="false" customHeight="false" outlineLevel="0" collapsed="false">
      <c r="A99" s="26"/>
      <c r="B99" s="27" t="str">
        <f aca="false">IF(A99="","",A99+7-WEEKDAY(A99,1)+1)</f>
        <v/>
      </c>
      <c r="C99" s="28"/>
      <c r="D99" s="29"/>
      <c r="E99" s="28"/>
      <c r="F99" s="28"/>
      <c r="G99" s="30"/>
      <c r="H99" s="31" t="str">
        <f aca="false">IF(E99="","",IFERROR(INDEX(Lists!$C$2:$C$86,MATCH(E99,Lists!$A$2:$A$86,0)),"?"))</f>
        <v/>
      </c>
      <c r="I99" s="32" t="str">
        <f aca="false">IF(OR(C99="",E99=""),"",IF(H99="Yes",IFERROR(INDEX(Employees!$E$4:$E$43,MATCH(C99,Employees!$B$4:$B$43,0)),0),0))</f>
        <v/>
      </c>
      <c r="J99" s="33" t="str">
        <f aca="false">IF(G99="","",IF(H99="Yes",G99*I99,0))</f>
        <v/>
      </c>
      <c r="K99" s="33" t="str">
        <f aca="false">IF(OR(C99="",G99=""),"",G99*IFERROR(INDEX(Employees!$F$4:$F$43,MATCH(C99,Employees!$B$4:$B$43,0)),0))</f>
        <v/>
      </c>
      <c r="L99" s="28"/>
    </row>
    <row r="100" customFormat="false" ht="15" hidden="false" customHeight="false" outlineLevel="0" collapsed="false">
      <c r="A100" s="26"/>
      <c r="B100" s="19" t="str">
        <f aca="false">IF(A100="","",A100+7-WEEKDAY(A100,1)+1)</f>
        <v/>
      </c>
      <c r="C100" s="28"/>
      <c r="D100" s="29"/>
      <c r="E100" s="28"/>
      <c r="F100" s="28"/>
      <c r="G100" s="30"/>
      <c r="H100" s="23" t="str">
        <f aca="false">IF(E100="","",IFERROR(INDEX(Lists!$C$2:$C$86,MATCH(E100,Lists!$A$2:$A$86,0)),"?"))</f>
        <v/>
      </c>
      <c r="I100" s="24" t="str">
        <f aca="false">IF(OR(C100="",E100=""),"",IF(H100="Yes",IFERROR(INDEX(Employees!$E$4:$E$43,MATCH(C100,Employees!$B$4:$B$43,0)),0),0))</f>
        <v/>
      </c>
      <c r="J100" s="25" t="str">
        <f aca="false">IF(G100="","",IF(H100="Yes",G100*I100,0))</f>
        <v/>
      </c>
      <c r="K100" s="25" t="str">
        <f aca="false">IF(OR(C100="",G100=""),"",G100*IFERROR(INDEX(Employees!$F$4:$F$43,MATCH(C100,Employees!$B$4:$B$43,0)),0))</f>
        <v/>
      </c>
      <c r="L100" s="28"/>
    </row>
    <row r="101" customFormat="false" ht="15" hidden="false" customHeight="false" outlineLevel="0" collapsed="false">
      <c r="A101" s="26"/>
      <c r="B101" s="27" t="str">
        <f aca="false">IF(A101="","",A101+7-WEEKDAY(A101,1)+1)</f>
        <v/>
      </c>
      <c r="C101" s="28"/>
      <c r="D101" s="29"/>
      <c r="E101" s="28"/>
      <c r="F101" s="28"/>
      <c r="G101" s="30"/>
      <c r="H101" s="31" t="str">
        <f aca="false">IF(E101="","",IFERROR(INDEX(Lists!$C$2:$C$86,MATCH(E101,Lists!$A$2:$A$86,0)),"?"))</f>
        <v/>
      </c>
      <c r="I101" s="32" t="str">
        <f aca="false">IF(OR(C101="",E101=""),"",IF(H101="Yes",IFERROR(INDEX(Employees!$E$4:$E$43,MATCH(C101,Employees!$B$4:$B$43,0)),0),0))</f>
        <v/>
      </c>
      <c r="J101" s="33" t="str">
        <f aca="false">IF(G101="","",IF(H101="Yes",G101*I101,0))</f>
        <v/>
      </c>
      <c r="K101" s="33" t="str">
        <f aca="false">IF(OR(C101="",G101=""),"",G101*IFERROR(INDEX(Employees!$F$4:$F$43,MATCH(C101,Employees!$B$4:$B$43,0)),0))</f>
        <v/>
      </c>
      <c r="L101" s="28"/>
    </row>
    <row r="102" customFormat="false" ht="15" hidden="false" customHeight="false" outlineLevel="0" collapsed="false">
      <c r="A102" s="26"/>
      <c r="B102" s="19" t="str">
        <f aca="false">IF(A102="","",A102+7-WEEKDAY(A102,1)+1)</f>
        <v/>
      </c>
      <c r="C102" s="28"/>
      <c r="D102" s="29"/>
      <c r="E102" s="28"/>
      <c r="F102" s="28"/>
      <c r="G102" s="30"/>
      <c r="H102" s="23" t="str">
        <f aca="false">IF(E102="","",IFERROR(INDEX(Lists!$C$2:$C$86,MATCH(E102,Lists!$A$2:$A$86,0)),"?"))</f>
        <v/>
      </c>
      <c r="I102" s="24" t="str">
        <f aca="false">IF(OR(C102="",E102=""),"",IF(H102="Yes",IFERROR(INDEX(Employees!$E$4:$E$43,MATCH(C102,Employees!$B$4:$B$43,0)),0),0))</f>
        <v/>
      </c>
      <c r="J102" s="25" t="str">
        <f aca="false">IF(G102="","",IF(H102="Yes",G102*I102,0))</f>
        <v/>
      </c>
      <c r="K102" s="25" t="str">
        <f aca="false">IF(OR(C102="",G102=""),"",G102*IFERROR(INDEX(Employees!$F$4:$F$43,MATCH(C102,Employees!$B$4:$B$43,0)),0))</f>
        <v/>
      </c>
      <c r="L102" s="28"/>
    </row>
    <row r="103" customFormat="false" ht="15" hidden="false" customHeight="false" outlineLevel="0" collapsed="false">
      <c r="A103" s="26"/>
      <c r="B103" s="27" t="str">
        <f aca="false">IF(A103="","",A103+7-WEEKDAY(A103,1)+1)</f>
        <v/>
      </c>
      <c r="C103" s="28"/>
      <c r="D103" s="29"/>
      <c r="E103" s="28"/>
      <c r="F103" s="28"/>
      <c r="G103" s="30"/>
      <c r="H103" s="31" t="str">
        <f aca="false">IF(E103="","",IFERROR(INDEX(Lists!$C$2:$C$86,MATCH(E103,Lists!$A$2:$A$86,0)),"?"))</f>
        <v/>
      </c>
      <c r="I103" s="32" t="str">
        <f aca="false">IF(OR(C103="",E103=""),"",IF(H103="Yes",IFERROR(INDEX(Employees!$E$4:$E$43,MATCH(C103,Employees!$B$4:$B$43,0)),0),0))</f>
        <v/>
      </c>
      <c r="J103" s="33" t="str">
        <f aca="false">IF(G103="","",IF(H103="Yes",G103*I103,0))</f>
        <v/>
      </c>
      <c r="K103" s="33" t="str">
        <f aca="false">IF(OR(C103="",G103=""),"",G103*IFERROR(INDEX(Employees!$F$4:$F$43,MATCH(C103,Employees!$B$4:$B$43,0)),0))</f>
        <v/>
      </c>
      <c r="L103" s="28"/>
    </row>
    <row r="104" customFormat="false" ht="15" hidden="false" customHeight="false" outlineLevel="0" collapsed="false">
      <c r="A104" s="26"/>
      <c r="B104" s="19" t="str">
        <f aca="false">IF(A104="","",A104+7-WEEKDAY(A104,1)+1)</f>
        <v/>
      </c>
      <c r="C104" s="28"/>
      <c r="D104" s="29"/>
      <c r="E104" s="28"/>
      <c r="F104" s="28"/>
      <c r="G104" s="30"/>
      <c r="H104" s="23" t="str">
        <f aca="false">IF(E104="","",IFERROR(INDEX(Lists!$C$2:$C$86,MATCH(E104,Lists!$A$2:$A$86,0)),"?"))</f>
        <v/>
      </c>
      <c r="I104" s="24" t="str">
        <f aca="false">IF(OR(C104="",E104=""),"",IF(H104="Yes",IFERROR(INDEX(Employees!$E$4:$E$43,MATCH(C104,Employees!$B$4:$B$43,0)),0),0))</f>
        <v/>
      </c>
      <c r="J104" s="25" t="str">
        <f aca="false">IF(G104="","",IF(H104="Yes",G104*I104,0))</f>
        <v/>
      </c>
      <c r="K104" s="25" t="str">
        <f aca="false">IF(OR(C104="",G104=""),"",G104*IFERROR(INDEX(Employees!$F$4:$F$43,MATCH(C104,Employees!$B$4:$B$43,0)),0))</f>
        <v/>
      </c>
      <c r="L104" s="28"/>
    </row>
    <row r="105" customFormat="false" ht="15" hidden="false" customHeight="false" outlineLevel="0" collapsed="false">
      <c r="A105" s="26"/>
      <c r="B105" s="27" t="str">
        <f aca="false">IF(A105="","",A105+7-WEEKDAY(A105,1)+1)</f>
        <v/>
      </c>
      <c r="C105" s="28"/>
      <c r="D105" s="29"/>
      <c r="E105" s="28"/>
      <c r="F105" s="28"/>
      <c r="G105" s="30"/>
      <c r="H105" s="31" t="str">
        <f aca="false">IF(E105="","",IFERROR(INDEX(Lists!$C$2:$C$86,MATCH(E105,Lists!$A$2:$A$86,0)),"?"))</f>
        <v/>
      </c>
      <c r="I105" s="32" t="str">
        <f aca="false">IF(OR(C105="",E105=""),"",IF(H105="Yes",IFERROR(INDEX(Employees!$E$4:$E$43,MATCH(C105,Employees!$B$4:$B$43,0)),0),0))</f>
        <v/>
      </c>
      <c r="J105" s="33" t="str">
        <f aca="false">IF(G105="","",IF(H105="Yes",G105*I105,0))</f>
        <v/>
      </c>
      <c r="K105" s="33" t="str">
        <f aca="false">IF(OR(C105="",G105=""),"",G105*IFERROR(INDEX(Employees!$F$4:$F$43,MATCH(C105,Employees!$B$4:$B$43,0)),0))</f>
        <v/>
      </c>
      <c r="L105" s="28"/>
    </row>
    <row r="106" customFormat="false" ht="15" hidden="false" customHeight="false" outlineLevel="0" collapsed="false">
      <c r="A106" s="26"/>
      <c r="B106" s="19" t="str">
        <f aca="false">IF(A106="","",A106+7-WEEKDAY(A106,1)+1)</f>
        <v/>
      </c>
      <c r="C106" s="28"/>
      <c r="D106" s="29"/>
      <c r="E106" s="28"/>
      <c r="F106" s="28"/>
      <c r="G106" s="30"/>
      <c r="H106" s="23" t="str">
        <f aca="false">IF(E106="","",IFERROR(INDEX(Lists!$C$2:$C$86,MATCH(E106,Lists!$A$2:$A$86,0)),"?"))</f>
        <v/>
      </c>
      <c r="I106" s="24" t="str">
        <f aca="false">IF(OR(C106="",E106=""),"",IF(H106="Yes",IFERROR(INDEX(Employees!$E$4:$E$43,MATCH(C106,Employees!$B$4:$B$43,0)),0),0))</f>
        <v/>
      </c>
      <c r="J106" s="25" t="str">
        <f aca="false">IF(G106="","",IF(H106="Yes",G106*I106,0))</f>
        <v/>
      </c>
      <c r="K106" s="25" t="str">
        <f aca="false">IF(OR(C106="",G106=""),"",G106*IFERROR(INDEX(Employees!$F$4:$F$43,MATCH(C106,Employees!$B$4:$B$43,0)),0))</f>
        <v/>
      </c>
      <c r="L106" s="28"/>
    </row>
    <row r="107" customFormat="false" ht="15" hidden="false" customHeight="false" outlineLevel="0" collapsed="false">
      <c r="A107" s="26"/>
      <c r="B107" s="27" t="str">
        <f aca="false">IF(A107="","",A107+7-WEEKDAY(A107,1)+1)</f>
        <v/>
      </c>
      <c r="C107" s="28"/>
      <c r="D107" s="29"/>
      <c r="E107" s="28"/>
      <c r="F107" s="28"/>
      <c r="G107" s="30"/>
      <c r="H107" s="31" t="str">
        <f aca="false">IF(E107="","",IFERROR(INDEX(Lists!$C$2:$C$86,MATCH(E107,Lists!$A$2:$A$86,0)),"?"))</f>
        <v/>
      </c>
      <c r="I107" s="32" t="str">
        <f aca="false">IF(OR(C107="",E107=""),"",IF(H107="Yes",IFERROR(INDEX(Employees!$E$4:$E$43,MATCH(C107,Employees!$B$4:$B$43,0)),0),0))</f>
        <v/>
      </c>
      <c r="J107" s="33" t="str">
        <f aca="false">IF(G107="","",IF(H107="Yes",G107*I107,0))</f>
        <v/>
      </c>
      <c r="K107" s="33" t="str">
        <f aca="false">IF(OR(C107="",G107=""),"",G107*IFERROR(INDEX(Employees!$F$4:$F$43,MATCH(C107,Employees!$B$4:$B$43,0)),0))</f>
        <v/>
      </c>
      <c r="L107" s="28"/>
    </row>
    <row r="108" customFormat="false" ht="15" hidden="false" customHeight="false" outlineLevel="0" collapsed="false">
      <c r="A108" s="26"/>
      <c r="B108" s="19" t="str">
        <f aca="false">IF(A108="","",A108+7-WEEKDAY(A108,1)+1)</f>
        <v/>
      </c>
      <c r="C108" s="28"/>
      <c r="D108" s="29"/>
      <c r="E108" s="28"/>
      <c r="F108" s="28"/>
      <c r="G108" s="30"/>
      <c r="H108" s="23" t="str">
        <f aca="false">IF(E108="","",IFERROR(INDEX(Lists!$C$2:$C$86,MATCH(E108,Lists!$A$2:$A$86,0)),"?"))</f>
        <v/>
      </c>
      <c r="I108" s="24" t="str">
        <f aca="false">IF(OR(C108="",E108=""),"",IF(H108="Yes",IFERROR(INDEX(Employees!$E$4:$E$43,MATCH(C108,Employees!$B$4:$B$43,0)),0),0))</f>
        <v/>
      </c>
      <c r="J108" s="25" t="str">
        <f aca="false">IF(G108="","",IF(H108="Yes",G108*I108,0))</f>
        <v/>
      </c>
      <c r="K108" s="25" t="str">
        <f aca="false">IF(OR(C108="",G108=""),"",G108*IFERROR(INDEX(Employees!$F$4:$F$43,MATCH(C108,Employees!$B$4:$B$43,0)),0))</f>
        <v/>
      </c>
      <c r="L108" s="28"/>
    </row>
    <row r="109" customFormat="false" ht="15" hidden="false" customHeight="false" outlineLevel="0" collapsed="false">
      <c r="A109" s="26"/>
      <c r="B109" s="27" t="str">
        <f aca="false">IF(A109="","",A109+7-WEEKDAY(A109,1)+1)</f>
        <v/>
      </c>
      <c r="C109" s="28"/>
      <c r="D109" s="29"/>
      <c r="E109" s="28"/>
      <c r="F109" s="28"/>
      <c r="G109" s="30"/>
      <c r="H109" s="31" t="str">
        <f aca="false">IF(E109="","",IFERROR(INDEX(Lists!$C$2:$C$86,MATCH(E109,Lists!$A$2:$A$86,0)),"?"))</f>
        <v/>
      </c>
      <c r="I109" s="32" t="str">
        <f aca="false">IF(OR(C109="",E109=""),"",IF(H109="Yes",IFERROR(INDEX(Employees!$E$4:$E$43,MATCH(C109,Employees!$B$4:$B$43,0)),0),0))</f>
        <v/>
      </c>
      <c r="J109" s="33" t="str">
        <f aca="false">IF(G109="","",IF(H109="Yes",G109*I109,0))</f>
        <v/>
      </c>
      <c r="K109" s="33" t="str">
        <f aca="false">IF(OR(C109="",G109=""),"",G109*IFERROR(INDEX(Employees!$F$4:$F$43,MATCH(C109,Employees!$B$4:$B$43,0)),0))</f>
        <v/>
      </c>
      <c r="L109" s="28"/>
    </row>
    <row r="110" customFormat="false" ht="15" hidden="false" customHeight="false" outlineLevel="0" collapsed="false">
      <c r="A110" s="26"/>
      <c r="B110" s="19" t="str">
        <f aca="false">IF(A110="","",A110+7-WEEKDAY(A110,1)+1)</f>
        <v/>
      </c>
      <c r="C110" s="28"/>
      <c r="D110" s="29"/>
      <c r="E110" s="28"/>
      <c r="F110" s="28"/>
      <c r="G110" s="30"/>
      <c r="H110" s="23" t="str">
        <f aca="false">IF(E110="","",IFERROR(INDEX(Lists!$C$2:$C$86,MATCH(E110,Lists!$A$2:$A$86,0)),"?"))</f>
        <v/>
      </c>
      <c r="I110" s="24" t="str">
        <f aca="false">IF(OR(C110="",E110=""),"",IF(H110="Yes",IFERROR(INDEX(Employees!$E$4:$E$43,MATCH(C110,Employees!$B$4:$B$43,0)),0),0))</f>
        <v/>
      </c>
      <c r="J110" s="25" t="str">
        <f aca="false">IF(G110="","",IF(H110="Yes",G110*I110,0))</f>
        <v/>
      </c>
      <c r="K110" s="25" t="str">
        <f aca="false">IF(OR(C110="",G110=""),"",G110*IFERROR(INDEX(Employees!$F$4:$F$43,MATCH(C110,Employees!$B$4:$B$43,0)),0))</f>
        <v/>
      </c>
      <c r="L110" s="28"/>
    </row>
    <row r="111" customFormat="false" ht="15" hidden="false" customHeight="false" outlineLevel="0" collapsed="false">
      <c r="A111" s="26"/>
      <c r="B111" s="27" t="str">
        <f aca="false">IF(A111="","",A111+7-WEEKDAY(A111,1)+1)</f>
        <v/>
      </c>
      <c r="C111" s="28"/>
      <c r="D111" s="29"/>
      <c r="E111" s="28"/>
      <c r="F111" s="28"/>
      <c r="G111" s="30"/>
      <c r="H111" s="31" t="str">
        <f aca="false">IF(E111="","",IFERROR(INDEX(Lists!$C$2:$C$86,MATCH(E111,Lists!$A$2:$A$86,0)),"?"))</f>
        <v/>
      </c>
      <c r="I111" s="32" t="str">
        <f aca="false">IF(OR(C111="",E111=""),"",IF(H111="Yes",IFERROR(INDEX(Employees!$E$4:$E$43,MATCH(C111,Employees!$B$4:$B$43,0)),0),0))</f>
        <v/>
      </c>
      <c r="J111" s="33" t="str">
        <f aca="false">IF(G111="","",IF(H111="Yes",G111*I111,0))</f>
        <v/>
      </c>
      <c r="K111" s="33" t="str">
        <f aca="false">IF(OR(C111="",G111=""),"",G111*IFERROR(INDEX(Employees!$F$4:$F$43,MATCH(C111,Employees!$B$4:$B$43,0)),0))</f>
        <v/>
      </c>
      <c r="L111" s="28"/>
    </row>
    <row r="112" customFormat="false" ht="15" hidden="false" customHeight="false" outlineLevel="0" collapsed="false">
      <c r="A112" s="26"/>
      <c r="B112" s="19" t="str">
        <f aca="false">IF(A112="","",A112+7-WEEKDAY(A112,1)+1)</f>
        <v/>
      </c>
      <c r="C112" s="28"/>
      <c r="D112" s="29"/>
      <c r="E112" s="28"/>
      <c r="F112" s="28"/>
      <c r="G112" s="30"/>
      <c r="H112" s="23" t="str">
        <f aca="false">IF(E112="","",IFERROR(INDEX(Lists!$C$2:$C$86,MATCH(E112,Lists!$A$2:$A$86,0)),"?"))</f>
        <v/>
      </c>
      <c r="I112" s="24" t="str">
        <f aca="false">IF(OR(C112="",E112=""),"",IF(H112="Yes",IFERROR(INDEX(Employees!$E$4:$E$43,MATCH(C112,Employees!$B$4:$B$43,0)),0),0))</f>
        <v/>
      </c>
      <c r="J112" s="25" t="str">
        <f aca="false">IF(G112="","",IF(H112="Yes",G112*I112,0))</f>
        <v/>
      </c>
      <c r="K112" s="25" t="str">
        <f aca="false">IF(OR(C112="",G112=""),"",G112*IFERROR(INDEX(Employees!$F$4:$F$43,MATCH(C112,Employees!$B$4:$B$43,0)),0))</f>
        <v/>
      </c>
      <c r="L112" s="28"/>
    </row>
    <row r="113" customFormat="false" ht="15" hidden="false" customHeight="false" outlineLevel="0" collapsed="false">
      <c r="A113" s="26"/>
      <c r="B113" s="27" t="str">
        <f aca="false">IF(A113="","",A113+7-WEEKDAY(A113,1)+1)</f>
        <v/>
      </c>
      <c r="C113" s="28"/>
      <c r="D113" s="29"/>
      <c r="E113" s="28"/>
      <c r="F113" s="28"/>
      <c r="G113" s="30"/>
      <c r="H113" s="31" t="str">
        <f aca="false">IF(E113="","",IFERROR(INDEX(Lists!$C$2:$C$86,MATCH(E113,Lists!$A$2:$A$86,0)),"?"))</f>
        <v/>
      </c>
      <c r="I113" s="32" t="str">
        <f aca="false">IF(OR(C113="",E113=""),"",IF(H113="Yes",IFERROR(INDEX(Employees!$E$4:$E$43,MATCH(C113,Employees!$B$4:$B$43,0)),0),0))</f>
        <v/>
      </c>
      <c r="J113" s="33" t="str">
        <f aca="false">IF(G113="","",IF(H113="Yes",G113*I113,0))</f>
        <v/>
      </c>
      <c r="K113" s="33" t="str">
        <f aca="false">IF(OR(C113="",G113=""),"",G113*IFERROR(INDEX(Employees!$F$4:$F$43,MATCH(C113,Employees!$B$4:$B$43,0)),0))</f>
        <v/>
      </c>
      <c r="L113" s="28"/>
    </row>
    <row r="114" customFormat="false" ht="15" hidden="false" customHeight="false" outlineLevel="0" collapsed="false">
      <c r="A114" s="26"/>
      <c r="B114" s="19" t="str">
        <f aca="false">IF(A114="","",A114+7-WEEKDAY(A114,1)+1)</f>
        <v/>
      </c>
      <c r="C114" s="28"/>
      <c r="D114" s="29"/>
      <c r="E114" s="28"/>
      <c r="F114" s="28"/>
      <c r="G114" s="30"/>
      <c r="H114" s="23" t="str">
        <f aca="false">IF(E114="","",IFERROR(INDEX(Lists!$C$2:$C$86,MATCH(E114,Lists!$A$2:$A$86,0)),"?"))</f>
        <v/>
      </c>
      <c r="I114" s="24" t="str">
        <f aca="false">IF(OR(C114="",E114=""),"",IF(H114="Yes",IFERROR(INDEX(Employees!$E$4:$E$43,MATCH(C114,Employees!$B$4:$B$43,0)),0),0))</f>
        <v/>
      </c>
      <c r="J114" s="25" t="str">
        <f aca="false">IF(G114="","",IF(H114="Yes",G114*I114,0))</f>
        <v/>
      </c>
      <c r="K114" s="25" t="str">
        <f aca="false">IF(OR(C114="",G114=""),"",G114*IFERROR(INDEX(Employees!$F$4:$F$43,MATCH(C114,Employees!$B$4:$B$43,0)),0))</f>
        <v/>
      </c>
      <c r="L114" s="28"/>
    </row>
    <row r="115" customFormat="false" ht="15" hidden="false" customHeight="false" outlineLevel="0" collapsed="false">
      <c r="A115" s="26"/>
      <c r="B115" s="27" t="str">
        <f aca="false">IF(A115="","",A115+7-WEEKDAY(A115,1)+1)</f>
        <v/>
      </c>
      <c r="C115" s="28"/>
      <c r="D115" s="29"/>
      <c r="E115" s="28"/>
      <c r="F115" s="28"/>
      <c r="G115" s="30"/>
      <c r="H115" s="31" t="str">
        <f aca="false">IF(E115="","",IFERROR(INDEX(Lists!$C$2:$C$86,MATCH(E115,Lists!$A$2:$A$86,0)),"?"))</f>
        <v/>
      </c>
      <c r="I115" s="32" t="str">
        <f aca="false">IF(OR(C115="",E115=""),"",IF(H115="Yes",IFERROR(INDEX(Employees!$E$4:$E$43,MATCH(C115,Employees!$B$4:$B$43,0)),0),0))</f>
        <v/>
      </c>
      <c r="J115" s="33" t="str">
        <f aca="false">IF(G115="","",IF(H115="Yes",G115*I115,0))</f>
        <v/>
      </c>
      <c r="K115" s="33" t="str">
        <f aca="false">IF(OR(C115="",G115=""),"",G115*IFERROR(INDEX(Employees!$F$4:$F$43,MATCH(C115,Employees!$B$4:$B$43,0)),0))</f>
        <v/>
      </c>
      <c r="L115" s="28"/>
    </row>
    <row r="116" customFormat="false" ht="15" hidden="false" customHeight="false" outlineLevel="0" collapsed="false">
      <c r="A116" s="26"/>
      <c r="B116" s="19" t="str">
        <f aca="false">IF(A116="","",A116+7-WEEKDAY(A116,1)+1)</f>
        <v/>
      </c>
      <c r="C116" s="28"/>
      <c r="D116" s="29"/>
      <c r="E116" s="28"/>
      <c r="F116" s="28"/>
      <c r="G116" s="30"/>
      <c r="H116" s="23" t="str">
        <f aca="false">IF(E116="","",IFERROR(INDEX(Lists!$C$2:$C$86,MATCH(E116,Lists!$A$2:$A$86,0)),"?"))</f>
        <v/>
      </c>
      <c r="I116" s="24" t="str">
        <f aca="false">IF(OR(C116="",E116=""),"",IF(H116="Yes",IFERROR(INDEX(Employees!$E$4:$E$43,MATCH(C116,Employees!$B$4:$B$43,0)),0),0))</f>
        <v/>
      </c>
      <c r="J116" s="25" t="str">
        <f aca="false">IF(G116="","",IF(H116="Yes",G116*I116,0))</f>
        <v/>
      </c>
      <c r="K116" s="25" t="str">
        <f aca="false">IF(OR(C116="",G116=""),"",G116*IFERROR(INDEX(Employees!$F$4:$F$43,MATCH(C116,Employees!$B$4:$B$43,0)),0))</f>
        <v/>
      </c>
      <c r="L116" s="28"/>
    </row>
    <row r="117" customFormat="false" ht="15" hidden="false" customHeight="false" outlineLevel="0" collapsed="false">
      <c r="A117" s="26"/>
      <c r="B117" s="27" t="str">
        <f aca="false">IF(A117="","",A117+7-WEEKDAY(A117,1)+1)</f>
        <v/>
      </c>
      <c r="C117" s="28"/>
      <c r="D117" s="29"/>
      <c r="E117" s="28"/>
      <c r="F117" s="28"/>
      <c r="G117" s="30"/>
      <c r="H117" s="31" t="str">
        <f aca="false">IF(E117="","",IFERROR(INDEX(Lists!$C$2:$C$86,MATCH(E117,Lists!$A$2:$A$86,0)),"?"))</f>
        <v/>
      </c>
      <c r="I117" s="32" t="str">
        <f aca="false">IF(OR(C117="",E117=""),"",IF(H117="Yes",IFERROR(INDEX(Employees!$E$4:$E$43,MATCH(C117,Employees!$B$4:$B$43,0)),0),0))</f>
        <v/>
      </c>
      <c r="J117" s="33" t="str">
        <f aca="false">IF(G117="","",IF(H117="Yes",G117*I117,0))</f>
        <v/>
      </c>
      <c r="K117" s="33" t="str">
        <f aca="false">IF(OR(C117="",G117=""),"",G117*IFERROR(INDEX(Employees!$F$4:$F$43,MATCH(C117,Employees!$B$4:$B$43,0)),0))</f>
        <v/>
      </c>
      <c r="L117" s="28"/>
    </row>
    <row r="118" customFormat="false" ht="15" hidden="false" customHeight="false" outlineLevel="0" collapsed="false">
      <c r="A118" s="26"/>
      <c r="B118" s="19" t="str">
        <f aca="false">IF(A118="","",A118+7-WEEKDAY(A118,1)+1)</f>
        <v/>
      </c>
      <c r="C118" s="28"/>
      <c r="D118" s="29"/>
      <c r="E118" s="28"/>
      <c r="F118" s="28"/>
      <c r="G118" s="30"/>
      <c r="H118" s="23" t="str">
        <f aca="false">IF(E118="","",IFERROR(INDEX(Lists!$C$2:$C$86,MATCH(E118,Lists!$A$2:$A$86,0)),"?"))</f>
        <v/>
      </c>
      <c r="I118" s="24" t="str">
        <f aca="false">IF(OR(C118="",E118=""),"",IF(H118="Yes",IFERROR(INDEX(Employees!$E$4:$E$43,MATCH(C118,Employees!$B$4:$B$43,0)),0),0))</f>
        <v/>
      </c>
      <c r="J118" s="25" t="str">
        <f aca="false">IF(G118="","",IF(H118="Yes",G118*I118,0))</f>
        <v/>
      </c>
      <c r="K118" s="25" t="str">
        <f aca="false">IF(OR(C118="",G118=""),"",G118*IFERROR(INDEX(Employees!$F$4:$F$43,MATCH(C118,Employees!$B$4:$B$43,0)),0))</f>
        <v/>
      </c>
      <c r="L118" s="28"/>
    </row>
    <row r="119" customFormat="false" ht="15" hidden="false" customHeight="false" outlineLevel="0" collapsed="false">
      <c r="A119" s="26"/>
      <c r="B119" s="27" t="str">
        <f aca="false">IF(A119="","",A119+7-WEEKDAY(A119,1)+1)</f>
        <v/>
      </c>
      <c r="C119" s="28"/>
      <c r="D119" s="29"/>
      <c r="E119" s="28"/>
      <c r="F119" s="28"/>
      <c r="G119" s="30"/>
      <c r="H119" s="31" t="str">
        <f aca="false">IF(E119="","",IFERROR(INDEX(Lists!$C$2:$C$86,MATCH(E119,Lists!$A$2:$A$86,0)),"?"))</f>
        <v/>
      </c>
      <c r="I119" s="32" t="str">
        <f aca="false">IF(OR(C119="",E119=""),"",IF(H119="Yes",IFERROR(INDEX(Employees!$E$4:$E$43,MATCH(C119,Employees!$B$4:$B$43,0)),0),0))</f>
        <v/>
      </c>
      <c r="J119" s="33" t="str">
        <f aca="false">IF(G119="","",IF(H119="Yes",G119*I119,0))</f>
        <v/>
      </c>
      <c r="K119" s="33" t="str">
        <f aca="false">IF(OR(C119="",G119=""),"",G119*IFERROR(INDEX(Employees!$F$4:$F$43,MATCH(C119,Employees!$B$4:$B$43,0)),0))</f>
        <v/>
      </c>
      <c r="L119" s="28"/>
    </row>
    <row r="120" customFormat="false" ht="15" hidden="false" customHeight="false" outlineLevel="0" collapsed="false">
      <c r="A120" s="26"/>
      <c r="B120" s="19" t="str">
        <f aca="false">IF(A120="","",A120+7-WEEKDAY(A120,1)+1)</f>
        <v/>
      </c>
      <c r="C120" s="28"/>
      <c r="D120" s="29"/>
      <c r="E120" s="28"/>
      <c r="F120" s="28"/>
      <c r="G120" s="30"/>
      <c r="H120" s="23" t="str">
        <f aca="false">IF(E120="","",IFERROR(INDEX(Lists!$C$2:$C$86,MATCH(E120,Lists!$A$2:$A$86,0)),"?"))</f>
        <v/>
      </c>
      <c r="I120" s="24" t="str">
        <f aca="false">IF(OR(C120="",E120=""),"",IF(H120="Yes",IFERROR(INDEX(Employees!$E$4:$E$43,MATCH(C120,Employees!$B$4:$B$43,0)),0),0))</f>
        <v/>
      </c>
      <c r="J120" s="25" t="str">
        <f aca="false">IF(G120="","",IF(H120="Yes",G120*I120,0))</f>
        <v/>
      </c>
      <c r="K120" s="25" t="str">
        <f aca="false">IF(OR(C120="",G120=""),"",G120*IFERROR(INDEX(Employees!$F$4:$F$43,MATCH(C120,Employees!$B$4:$B$43,0)),0))</f>
        <v/>
      </c>
      <c r="L120" s="28"/>
    </row>
    <row r="121" customFormat="false" ht="15" hidden="false" customHeight="false" outlineLevel="0" collapsed="false">
      <c r="A121" s="26"/>
      <c r="B121" s="27" t="str">
        <f aca="false">IF(A121="","",A121+7-WEEKDAY(A121,1)+1)</f>
        <v/>
      </c>
      <c r="C121" s="28"/>
      <c r="D121" s="29"/>
      <c r="E121" s="28"/>
      <c r="F121" s="28"/>
      <c r="G121" s="30"/>
      <c r="H121" s="31" t="str">
        <f aca="false">IF(E121="","",IFERROR(INDEX(Lists!$C$2:$C$86,MATCH(E121,Lists!$A$2:$A$86,0)),"?"))</f>
        <v/>
      </c>
      <c r="I121" s="32" t="str">
        <f aca="false">IF(OR(C121="",E121=""),"",IF(H121="Yes",IFERROR(INDEX(Employees!$E$4:$E$43,MATCH(C121,Employees!$B$4:$B$43,0)),0),0))</f>
        <v/>
      </c>
      <c r="J121" s="33" t="str">
        <f aca="false">IF(G121="","",IF(H121="Yes",G121*I121,0))</f>
        <v/>
      </c>
      <c r="K121" s="33" t="str">
        <f aca="false">IF(OR(C121="",G121=""),"",G121*IFERROR(INDEX(Employees!$F$4:$F$43,MATCH(C121,Employees!$B$4:$B$43,0)),0))</f>
        <v/>
      </c>
      <c r="L121" s="28"/>
    </row>
    <row r="122" customFormat="false" ht="15" hidden="false" customHeight="false" outlineLevel="0" collapsed="false">
      <c r="A122" s="26"/>
      <c r="B122" s="19" t="str">
        <f aca="false">IF(A122="","",A122+7-WEEKDAY(A122,1)+1)</f>
        <v/>
      </c>
      <c r="C122" s="28"/>
      <c r="D122" s="29"/>
      <c r="E122" s="28"/>
      <c r="F122" s="28"/>
      <c r="G122" s="30"/>
      <c r="H122" s="23" t="str">
        <f aca="false">IF(E122="","",IFERROR(INDEX(Lists!$C$2:$C$86,MATCH(E122,Lists!$A$2:$A$86,0)),"?"))</f>
        <v/>
      </c>
      <c r="I122" s="24" t="str">
        <f aca="false">IF(OR(C122="",E122=""),"",IF(H122="Yes",IFERROR(INDEX(Employees!$E$4:$E$43,MATCH(C122,Employees!$B$4:$B$43,0)),0),0))</f>
        <v/>
      </c>
      <c r="J122" s="25" t="str">
        <f aca="false">IF(G122="","",IF(H122="Yes",G122*I122,0))</f>
        <v/>
      </c>
      <c r="K122" s="25" t="str">
        <f aca="false">IF(OR(C122="",G122=""),"",G122*IFERROR(INDEX(Employees!$F$4:$F$43,MATCH(C122,Employees!$B$4:$B$43,0)),0))</f>
        <v/>
      </c>
      <c r="L122" s="28"/>
    </row>
    <row r="123" customFormat="false" ht="15" hidden="false" customHeight="false" outlineLevel="0" collapsed="false">
      <c r="A123" s="26"/>
      <c r="B123" s="27" t="str">
        <f aca="false">IF(A123="","",A123+7-WEEKDAY(A123,1)+1)</f>
        <v/>
      </c>
      <c r="C123" s="28"/>
      <c r="D123" s="29"/>
      <c r="E123" s="28"/>
      <c r="F123" s="28"/>
      <c r="G123" s="30"/>
      <c r="H123" s="31" t="str">
        <f aca="false">IF(E123="","",IFERROR(INDEX(Lists!$C$2:$C$86,MATCH(E123,Lists!$A$2:$A$86,0)),"?"))</f>
        <v/>
      </c>
      <c r="I123" s="32" t="str">
        <f aca="false">IF(OR(C123="",E123=""),"",IF(H123="Yes",IFERROR(INDEX(Employees!$E$4:$E$43,MATCH(C123,Employees!$B$4:$B$43,0)),0),0))</f>
        <v/>
      </c>
      <c r="J123" s="33" t="str">
        <f aca="false">IF(G123="","",IF(H123="Yes",G123*I123,0))</f>
        <v/>
      </c>
      <c r="K123" s="33" t="str">
        <f aca="false">IF(OR(C123="",G123=""),"",G123*IFERROR(INDEX(Employees!$F$4:$F$43,MATCH(C123,Employees!$B$4:$B$43,0)),0))</f>
        <v/>
      </c>
      <c r="L123" s="28"/>
    </row>
    <row r="124" customFormat="false" ht="15" hidden="false" customHeight="false" outlineLevel="0" collapsed="false">
      <c r="A124" s="26"/>
      <c r="B124" s="19" t="str">
        <f aca="false">IF(A124="","",A124+7-WEEKDAY(A124,1)+1)</f>
        <v/>
      </c>
      <c r="C124" s="28"/>
      <c r="D124" s="29"/>
      <c r="E124" s="28"/>
      <c r="F124" s="28"/>
      <c r="G124" s="30"/>
      <c r="H124" s="23" t="str">
        <f aca="false">IF(E124="","",IFERROR(INDEX(Lists!$C$2:$C$86,MATCH(E124,Lists!$A$2:$A$86,0)),"?"))</f>
        <v/>
      </c>
      <c r="I124" s="24" t="str">
        <f aca="false">IF(OR(C124="",E124=""),"",IF(H124="Yes",IFERROR(INDEX(Employees!$E$4:$E$43,MATCH(C124,Employees!$B$4:$B$43,0)),0),0))</f>
        <v/>
      </c>
      <c r="J124" s="25" t="str">
        <f aca="false">IF(G124="","",IF(H124="Yes",G124*I124,0))</f>
        <v/>
      </c>
      <c r="K124" s="25" t="str">
        <f aca="false">IF(OR(C124="",G124=""),"",G124*IFERROR(INDEX(Employees!$F$4:$F$43,MATCH(C124,Employees!$B$4:$B$43,0)),0))</f>
        <v/>
      </c>
      <c r="L124" s="28"/>
    </row>
    <row r="125" customFormat="false" ht="15" hidden="false" customHeight="false" outlineLevel="0" collapsed="false">
      <c r="A125" s="26"/>
      <c r="B125" s="27" t="str">
        <f aca="false">IF(A125="","",A125+7-WEEKDAY(A125,1)+1)</f>
        <v/>
      </c>
      <c r="C125" s="28"/>
      <c r="D125" s="29"/>
      <c r="E125" s="28"/>
      <c r="F125" s="28"/>
      <c r="G125" s="30"/>
      <c r="H125" s="31" t="str">
        <f aca="false">IF(E125="","",IFERROR(INDEX(Lists!$C$2:$C$86,MATCH(E125,Lists!$A$2:$A$86,0)),"?"))</f>
        <v/>
      </c>
      <c r="I125" s="32" t="str">
        <f aca="false">IF(OR(C125="",E125=""),"",IF(H125="Yes",IFERROR(INDEX(Employees!$E$4:$E$43,MATCH(C125,Employees!$B$4:$B$43,0)),0),0))</f>
        <v/>
      </c>
      <c r="J125" s="33" t="str">
        <f aca="false">IF(G125="","",IF(H125="Yes",G125*I125,0))</f>
        <v/>
      </c>
      <c r="K125" s="33" t="str">
        <f aca="false">IF(OR(C125="",G125=""),"",G125*IFERROR(INDEX(Employees!$F$4:$F$43,MATCH(C125,Employees!$B$4:$B$43,0)),0))</f>
        <v/>
      </c>
      <c r="L125" s="28"/>
    </row>
    <row r="126" customFormat="false" ht="15" hidden="false" customHeight="false" outlineLevel="0" collapsed="false">
      <c r="A126" s="26"/>
      <c r="B126" s="19" t="str">
        <f aca="false">IF(A126="","",A126+7-WEEKDAY(A126,1)+1)</f>
        <v/>
      </c>
      <c r="C126" s="28"/>
      <c r="D126" s="29"/>
      <c r="E126" s="28"/>
      <c r="F126" s="28"/>
      <c r="G126" s="30"/>
      <c r="H126" s="23" t="str">
        <f aca="false">IF(E126="","",IFERROR(INDEX(Lists!$C$2:$C$86,MATCH(E126,Lists!$A$2:$A$86,0)),"?"))</f>
        <v/>
      </c>
      <c r="I126" s="24" t="str">
        <f aca="false">IF(OR(C126="",E126=""),"",IF(H126="Yes",IFERROR(INDEX(Employees!$E$4:$E$43,MATCH(C126,Employees!$B$4:$B$43,0)),0),0))</f>
        <v/>
      </c>
      <c r="J126" s="25" t="str">
        <f aca="false">IF(G126="","",IF(H126="Yes",G126*I126,0))</f>
        <v/>
      </c>
      <c r="K126" s="25" t="str">
        <f aca="false">IF(OR(C126="",G126=""),"",G126*IFERROR(INDEX(Employees!$F$4:$F$43,MATCH(C126,Employees!$B$4:$B$43,0)),0))</f>
        <v/>
      </c>
      <c r="L126" s="28"/>
    </row>
    <row r="127" customFormat="false" ht="15" hidden="false" customHeight="false" outlineLevel="0" collapsed="false">
      <c r="A127" s="26"/>
      <c r="B127" s="27" t="str">
        <f aca="false">IF(A127="","",A127+7-WEEKDAY(A127,1)+1)</f>
        <v/>
      </c>
      <c r="C127" s="28"/>
      <c r="D127" s="29"/>
      <c r="E127" s="28"/>
      <c r="F127" s="28"/>
      <c r="G127" s="30"/>
      <c r="H127" s="31" t="str">
        <f aca="false">IF(E127="","",IFERROR(INDEX(Lists!$C$2:$C$86,MATCH(E127,Lists!$A$2:$A$86,0)),"?"))</f>
        <v/>
      </c>
      <c r="I127" s="32" t="str">
        <f aca="false">IF(OR(C127="",E127=""),"",IF(H127="Yes",IFERROR(INDEX(Employees!$E$4:$E$43,MATCH(C127,Employees!$B$4:$B$43,0)),0),0))</f>
        <v/>
      </c>
      <c r="J127" s="33" t="str">
        <f aca="false">IF(G127="","",IF(H127="Yes",G127*I127,0))</f>
        <v/>
      </c>
      <c r="K127" s="33" t="str">
        <f aca="false">IF(OR(C127="",G127=""),"",G127*IFERROR(INDEX(Employees!$F$4:$F$43,MATCH(C127,Employees!$B$4:$B$43,0)),0))</f>
        <v/>
      </c>
      <c r="L127" s="28"/>
    </row>
    <row r="128" customFormat="false" ht="15" hidden="false" customHeight="false" outlineLevel="0" collapsed="false">
      <c r="A128" s="26"/>
      <c r="B128" s="19" t="str">
        <f aca="false">IF(A128="","",A128+7-WEEKDAY(A128,1)+1)</f>
        <v/>
      </c>
      <c r="C128" s="28"/>
      <c r="D128" s="29"/>
      <c r="E128" s="28"/>
      <c r="F128" s="28"/>
      <c r="G128" s="30"/>
      <c r="H128" s="23" t="str">
        <f aca="false">IF(E128="","",IFERROR(INDEX(Lists!$C$2:$C$86,MATCH(E128,Lists!$A$2:$A$86,0)),"?"))</f>
        <v/>
      </c>
      <c r="I128" s="24" t="str">
        <f aca="false">IF(OR(C128="",E128=""),"",IF(H128="Yes",IFERROR(INDEX(Employees!$E$4:$E$43,MATCH(C128,Employees!$B$4:$B$43,0)),0),0))</f>
        <v/>
      </c>
      <c r="J128" s="25" t="str">
        <f aca="false">IF(G128="","",IF(H128="Yes",G128*I128,0))</f>
        <v/>
      </c>
      <c r="K128" s="25" t="str">
        <f aca="false">IF(OR(C128="",G128=""),"",G128*IFERROR(INDEX(Employees!$F$4:$F$43,MATCH(C128,Employees!$B$4:$B$43,0)),0))</f>
        <v/>
      </c>
      <c r="L128" s="28"/>
    </row>
    <row r="129" customFormat="false" ht="15" hidden="false" customHeight="false" outlineLevel="0" collapsed="false">
      <c r="A129" s="26"/>
      <c r="B129" s="27" t="str">
        <f aca="false">IF(A129="","",A129+7-WEEKDAY(A129,1)+1)</f>
        <v/>
      </c>
      <c r="C129" s="28"/>
      <c r="D129" s="29"/>
      <c r="E129" s="28"/>
      <c r="F129" s="28"/>
      <c r="G129" s="30"/>
      <c r="H129" s="31" t="str">
        <f aca="false">IF(E129="","",IFERROR(INDEX(Lists!$C$2:$C$86,MATCH(E129,Lists!$A$2:$A$86,0)),"?"))</f>
        <v/>
      </c>
      <c r="I129" s="32" t="str">
        <f aca="false">IF(OR(C129="",E129=""),"",IF(H129="Yes",IFERROR(INDEX(Employees!$E$4:$E$43,MATCH(C129,Employees!$B$4:$B$43,0)),0),0))</f>
        <v/>
      </c>
      <c r="J129" s="33" t="str">
        <f aca="false">IF(G129="","",IF(H129="Yes",G129*I129,0))</f>
        <v/>
      </c>
      <c r="K129" s="33" t="str">
        <f aca="false">IF(OR(C129="",G129=""),"",G129*IFERROR(INDEX(Employees!$F$4:$F$43,MATCH(C129,Employees!$B$4:$B$43,0)),0))</f>
        <v/>
      </c>
      <c r="L129" s="28"/>
    </row>
    <row r="130" customFormat="false" ht="15" hidden="false" customHeight="false" outlineLevel="0" collapsed="false">
      <c r="A130" s="26"/>
      <c r="B130" s="19" t="str">
        <f aca="false">IF(A130="","",A130+7-WEEKDAY(A130,1)+1)</f>
        <v/>
      </c>
      <c r="C130" s="28"/>
      <c r="D130" s="29"/>
      <c r="E130" s="28"/>
      <c r="F130" s="28"/>
      <c r="G130" s="30"/>
      <c r="H130" s="23" t="str">
        <f aca="false">IF(E130="","",IFERROR(INDEX(Lists!$C$2:$C$86,MATCH(E130,Lists!$A$2:$A$86,0)),"?"))</f>
        <v/>
      </c>
      <c r="I130" s="24" t="str">
        <f aca="false">IF(OR(C130="",E130=""),"",IF(H130="Yes",IFERROR(INDEX(Employees!$E$4:$E$43,MATCH(C130,Employees!$B$4:$B$43,0)),0),0))</f>
        <v/>
      </c>
      <c r="J130" s="25" t="str">
        <f aca="false">IF(G130="","",IF(H130="Yes",G130*I130,0))</f>
        <v/>
      </c>
      <c r="K130" s="25" t="str">
        <f aca="false">IF(OR(C130="",G130=""),"",G130*IFERROR(INDEX(Employees!$F$4:$F$43,MATCH(C130,Employees!$B$4:$B$43,0)),0))</f>
        <v/>
      </c>
      <c r="L130" s="28"/>
    </row>
    <row r="131" customFormat="false" ht="15" hidden="false" customHeight="false" outlineLevel="0" collapsed="false">
      <c r="A131" s="26"/>
      <c r="B131" s="27" t="str">
        <f aca="false">IF(A131="","",A131+7-WEEKDAY(A131,1)+1)</f>
        <v/>
      </c>
      <c r="C131" s="28"/>
      <c r="D131" s="29"/>
      <c r="E131" s="28"/>
      <c r="F131" s="28"/>
      <c r="G131" s="30"/>
      <c r="H131" s="31" t="str">
        <f aca="false">IF(E131="","",IFERROR(INDEX(Lists!$C$2:$C$86,MATCH(E131,Lists!$A$2:$A$86,0)),"?"))</f>
        <v/>
      </c>
      <c r="I131" s="32" t="str">
        <f aca="false">IF(OR(C131="",E131=""),"",IF(H131="Yes",IFERROR(INDEX(Employees!$E$4:$E$43,MATCH(C131,Employees!$B$4:$B$43,0)),0),0))</f>
        <v/>
      </c>
      <c r="J131" s="33" t="str">
        <f aca="false">IF(G131="","",IF(H131="Yes",G131*I131,0))</f>
        <v/>
      </c>
      <c r="K131" s="33" t="str">
        <f aca="false">IF(OR(C131="",G131=""),"",G131*IFERROR(INDEX(Employees!$F$4:$F$43,MATCH(C131,Employees!$B$4:$B$43,0)),0))</f>
        <v/>
      </c>
      <c r="L131" s="28"/>
    </row>
    <row r="132" customFormat="false" ht="15" hidden="false" customHeight="false" outlineLevel="0" collapsed="false">
      <c r="A132" s="26"/>
      <c r="B132" s="19" t="str">
        <f aca="false">IF(A132="","",A132+7-WEEKDAY(A132,1)+1)</f>
        <v/>
      </c>
      <c r="C132" s="28"/>
      <c r="D132" s="29"/>
      <c r="E132" s="28"/>
      <c r="F132" s="28"/>
      <c r="G132" s="30"/>
      <c r="H132" s="23" t="str">
        <f aca="false">IF(E132="","",IFERROR(INDEX(Lists!$C$2:$C$86,MATCH(E132,Lists!$A$2:$A$86,0)),"?"))</f>
        <v/>
      </c>
      <c r="I132" s="24" t="str">
        <f aca="false">IF(OR(C132="",E132=""),"",IF(H132="Yes",IFERROR(INDEX(Employees!$E$4:$E$43,MATCH(C132,Employees!$B$4:$B$43,0)),0),0))</f>
        <v/>
      </c>
      <c r="J132" s="25" t="str">
        <f aca="false">IF(G132="","",IF(H132="Yes",G132*I132,0))</f>
        <v/>
      </c>
      <c r="K132" s="25" t="str">
        <f aca="false">IF(OR(C132="",G132=""),"",G132*IFERROR(INDEX(Employees!$F$4:$F$43,MATCH(C132,Employees!$B$4:$B$43,0)),0))</f>
        <v/>
      </c>
      <c r="L132" s="28"/>
    </row>
    <row r="133" customFormat="false" ht="15" hidden="false" customHeight="false" outlineLevel="0" collapsed="false">
      <c r="A133" s="26"/>
      <c r="B133" s="27" t="str">
        <f aca="false">IF(A133="","",A133+7-WEEKDAY(A133,1)+1)</f>
        <v/>
      </c>
      <c r="C133" s="28"/>
      <c r="D133" s="29"/>
      <c r="E133" s="28"/>
      <c r="F133" s="28"/>
      <c r="G133" s="30"/>
      <c r="H133" s="31" t="str">
        <f aca="false">IF(E133="","",IFERROR(INDEX(Lists!$C$2:$C$86,MATCH(E133,Lists!$A$2:$A$86,0)),"?"))</f>
        <v/>
      </c>
      <c r="I133" s="32" t="str">
        <f aca="false">IF(OR(C133="",E133=""),"",IF(H133="Yes",IFERROR(INDEX(Employees!$E$4:$E$43,MATCH(C133,Employees!$B$4:$B$43,0)),0),0))</f>
        <v/>
      </c>
      <c r="J133" s="33" t="str">
        <f aca="false">IF(G133="","",IF(H133="Yes",G133*I133,0))</f>
        <v/>
      </c>
      <c r="K133" s="33" t="str">
        <f aca="false">IF(OR(C133="",G133=""),"",G133*IFERROR(INDEX(Employees!$F$4:$F$43,MATCH(C133,Employees!$B$4:$B$43,0)),0))</f>
        <v/>
      </c>
      <c r="L133" s="28"/>
    </row>
    <row r="134" customFormat="false" ht="15" hidden="false" customHeight="false" outlineLevel="0" collapsed="false">
      <c r="A134" s="26"/>
      <c r="B134" s="19" t="str">
        <f aca="false">IF(A134="","",A134+7-WEEKDAY(A134,1)+1)</f>
        <v/>
      </c>
      <c r="C134" s="28"/>
      <c r="D134" s="29"/>
      <c r="E134" s="28"/>
      <c r="F134" s="28"/>
      <c r="G134" s="30"/>
      <c r="H134" s="23" t="str">
        <f aca="false">IF(E134="","",IFERROR(INDEX(Lists!$C$2:$C$86,MATCH(E134,Lists!$A$2:$A$86,0)),"?"))</f>
        <v/>
      </c>
      <c r="I134" s="24" t="str">
        <f aca="false">IF(OR(C134="",E134=""),"",IF(H134="Yes",IFERROR(INDEX(Employees!$E$4:$E$43,MATCH(C134,Employees!$B$4:$B$43,0)),0),0))</f>
        <v/>
      </c>
      <c r="J134" s="25" t="str">
        <f aca="false">IF(G134="","",IF(H134="Yes",G134*I134,0))</f>
        <v/>
      </c>
      <c r="K134" s="25" t="str">
        <f aca="false">IF(OR(C134="",G134=""),"",G134*IFERROR(INDEX(Employees!$F$4:$F$43,MATCH(C134,Employees!$B$4:$B$43,0)),0))</f>
        <v/>
      </c>
      <c r="L134" s="28"/>
    </row>
    <row r="135" customFormat="false" ht="15" hidden="false" customHeight="false" outlineLevel="0" collapsed="false">
      <c r="A135" s="26"/>
      <c r="B135" s="27" t="str">
        <f aca="false">IF(A135="","",A135+7-WEEKDAY(A135,1)+1)</f>
        <v/>
      </c>
      <c r="C135" s="28"/>
      <c r="D135" s="29"/>
      <c r="E135" s="28"/>
      <c r="F135" s="28"/>
      <c r="G135" s="30"/>
      <c r="H135" s="31" t="str">
        <f aca="false">IF(E135="","",IFERROR(INDEX(Lists!$C$2:$C$86,MATCH(E135,Lists!$A$2:$A$86,0)),"?"))</f>
        <v/>
      </c>
      <c r="I135" s="32" t="str">
        <f aca="false">IF(OR(C135="",E135=""),"",IF(H135="Yes",IFERROR(INDEX(Employees!$E$4:$E$43,MATCH(C135,Employees!$B$4:$B$43,0)),0),0))</f>
        <v/>
      </c>
      <c r="J135" s="33" t="str">
        <f aca="false">IF(G135="","",IF(H135="Yes",G135*I135,0))</f>
        <v/>
      </c>
      <c r="K135" s="33" t="str">
        <f aca="false">IF(OR(C135="",G135=""),"",G135*IFERROR(INDEX(Employees!$F$4:$F$43,MATCH(C135,Employees!$B$4:$B$43,0)),0))</f>
        <v/>
      </c>
      <c r="L135" s="28"/>
    </row>
    <row r="136" customFormat="false" ht="15" hidden="false" customHeight="false" outlineLevel="0" collapsed="false">
      <c r="A136" s="26"/>
      <c r="B136" s="19" t="str">
        <f aca="false">IF(A136="","",A136+7-WEEKDAY(A136,1)+1)</f>
        <v/>
      </c>
      <c r="C136" s="28"/>
      <c r="D136" s="29"/>
      <c r="E136" s="28"/>
      <c r="F136" s="28"/>
      <c r="G136" s="30"/>
      <c r="H136" s="23" t="str">
        <f aca="false">IF(E136="","",IFERROR(INDEX(Lists!$C$2:$C$86,MATCH(E136,Lists!$A$2:$A$86,0)),"?"))</f>
        <v/>
      </c>
      <c r="I136" s="24" t="str">
        <f aca="false">IF(OR(C136="",E136=""),"",IF(H136="Yes",IFERROR(INDEX(Employees!$E$4:$E$43,MATCH(C136,Employees!$B$4:$B$43,0)),0),0))</f>
        <v/>
      </c>
      <c r="J136" s="25" t="str">
        <f aca="false">IF(G136="","",IF(H136="Yes",G136*I136,0))</f>
        <v/>
      </c>
      <c r="K136" s="25" t="str">
        <f aca="false">IF(OR(C136="",G136=""),"",G136*IFERROR(INDEX(Employees!$F$4:$F$43,MATCH(C136,Employees!$B$4:$B$43,0)),0))</f>
        <v/>
      </c>
      <c r="L136" s="28"/>
    </row>
    <row r="137" customFormat="false" ht="15" hidden="false" customHeight="false" outlineLevel="0" collapsed="false">
      <c r="A137" s="26"/>
      <c r="B137" s="27" t="str">
        <f aca="false">IF(A137="","",A137+7-WEEKDAY(A137,1)+1)</f>
        <v/>
      </c>
      <c r="C137" s="28"/>
      <c r="D137" s="29"/>
      <c r="E137" s="28"/>
      <c r="F137" s="28"/>
      <c r="G137" s="30"/>
      <c r="H137" s="31" t="str">
        <f aca="false">IF(E137="","",IFERROR(INDEX(Lists!$C$2:$C$86,MATCH(E137,Lists!$A$2:$A$86,0)),"?"))</f>
        <v/>
      </c>
      <c r="I137" s="32" t="str">
        <f aca="false">IF(OR(C137="",E137=""),"",IF(H137="Yes",IFERROR(INDEX(Employees!$E$4:$E$43,MATCH(C137,Employees!$B$4:$B$43,0)),0),0))</f>
        <v/>
      </c>
      <c r="J137" s="33" t="str">
        <f aca="false">IF(G137="","",IF(H137="Yes",G137*I137,0))</f>
        <v/>
      </c>
      <c r="K137" s="33" t="str">
        <f aca="false">IF(OR(C137="",G137=""),"",G137*IFERROR(INDEX(Employees!$F$4:$F$43,MATCH(C137,Employees!$B$4:$B$43,0)),0))</f>
        <v/>
      </c>
      <c r="L137" s="28"/>
    </row>
    <row r="138" customFormat="false" ht="15" hidden="false" customHeight="false" outlineLevel="0" collapsed="false">
      <c r="A138" s="26"/>
      <c r="B138" s="19" t="str">
        <f aca="false">IF(A138="","",A138+7-WEEKDAY(A138,1)+1)</f>
        <v/>
      </c>
      <c r="C138" s="28"/>
      <c r="D138" s="29"/>
      <c r="E138" s="28"/>
      <c r="F138" s="28"/>
      <c r="G138" s="30"/>
      <c r="H138" s="23" t="str">
        <f aca="false">IF(E138="","",IFERROR(INDEX(Lists!$C$2:$C$86,MATCH(E138,Lists!$A$2:$A$86,0)),"?"))</f>
        <v/>
      </c>
      <c r="I138" s="24" t="str">
        <f aca="false">IF(OR(C138="",E138=""),"",IF(H138="Yes",IFERROR(INDEX(Employees!$E$4:$E$43,MATCH(C138,Employees!$B$4:$B$43,0)),0),0))</f>
        <v/>
      </c>
      <c r="J138" s="25" t="str">
        <f aca="false">IF(G138="","",IF(H138="Yes",G138*I138,0))</f>
        <v/>
      </c>
      <c r="K138" s="25" t="str">
        <f aca="false">IF(OR(C138="",G138=""),"",G138*IFERROR(INDEX(Employees!$F$4:$F$43,MATCH(C138,Employees!$B$4:$B$43,0)),0))</f>
        <v/>
      </c>
      <c r="L138" s="28"/>
    </row>
    <row r="139" customFormat="false" ht="15" hidden="false" customHeight="false" outlineLevel="0" collapsed="false">
      <c r="A139" s="26"/>
      <c r="B139" s="27" t="str">
        <f aca="false">IF(A139="","",A139+7-WEEKDAY(A139,1)+1)</f>
        <v/>
      </c>
      <c r="C139" s="28"/>
      <c r="D139" s="29"/>
      <c r="E139" s="28"/>
      <c r="F139" s="28"/>
      <c r="G139" s="30"/>
      <c r="H139" s="31" t="str">
        <f aca="false">IF(E139="","",IFERROR(INDEX(Lists!$C$2:$C$86,MATCH(E139,Lists!$A$2:$A$86,0)),"?"))</f>
        <v/>
      </c>
      <c r="I139" s="32" t="str">
        <f aca="false">IF(OR(C139="",E139=""),"",IF(H139="Yes",IFERROR(INDEX(Employees!$E$4:$E$43,MATCH(C139,Employees!$B$4:$B$43,0)),0),0))</f>
        <v/>
      </c>
      <c r="J139" s="33" t="str">
        <f aca="false">IF(G139="","",IF(H139="Yes",G139*I139,0))</f>
        <v/>
      </c>
      <c r="K139" s="33" t="str">
        <f aca="false">IF(OR(C139="",G139=""),"",G139*IFERROR(INDEX(Employees!$F$4:$F$43,MATCH(C139,Employees!$B$4:$B$43,0)),0))</f>
        <v/>
      </c>
      <c r="L139" s="28"/>
    </row>
    <row r="140" customFormat="false" ht="15" hidden="false" customHeight="false" outlineLevel="0" collapsed="false">
      <c r="A140" s="26"/>
      <c r="B140" s="19" t="str">
        <f aca="false">IF(A140="","",A140+7-WEEKDAY(A140,1)+1)</f>
        <v/>
      </c>
      <c r="C140" s="28"/>
      <c r="D140" s="29"/>
      <c r="E140" s="28"/>
      <c r="F140" s="28"/>
      <c r="G140" s="30"/>
      <c r="H140" s="23" t="str">
        <f aca="false">IF(E140="","",IFERROR(INDEX(Lists!$C$2:$C$86,MATCH(E140,Lists!$A$2:$A$86,0)),"?"))</f>
        <v/>
      </c>
      <c r="I140" s="24" t="str">
        <f aca="false">IF(OR(C140="",E140=""),"",IF(H140="Yes",IFERROR(INDEX(Employees!$E$4:$E$43,MATCH(C140,Employees!$B$4:$B$43,0)),0),0))</f>
        <v/>
      </c>
      <c r="J140" s="25" t="str">
        <f aca="false">IF(G140="","",IF(H140="Yes",G140*I140,0))</f>
        <v/>
      </c>
      <c r="K140" s="25" t="str">
        <f aca="false">IF(OR(C140="",G140=""),"",G140*IFERROR(INDEX(Employees!$F$4:$F$43,MATCH(C140,Employees!$B$4:$B$43,0)),0))</f>
        <v/>
      </c>
      <c r="L140" s="28"/>
    </row>
    <row r="141" customFormat="false" ht="15" hidden="false" customHeight="false" outlineLevel="0" collapsed="false">
      <c r="A141" s="26"/>
      <c r="B141" s="27" t="str">
        <f aca="false">IF(A141="","",A141+7-WEEKDAY(A141,1)+1)</f>
        <v/>
      </c>
      <c r="C141" s="28"/>
      <c r="D141" s="29"/>
      <c r="E141" s="28"/>
      <c r="F141" s="28"/>
      <c r="G141" s="30"/>
      <c r="H141" s="31" t="str">
        <f aca="false">IF(E141="","",IFERROR(INDEX(Lists!$C$2:$C$86,MATCH(E141,Lists!$A$2:$A$86,0)),"?"))</f>
        <v/>
      </c>
      <c r="I141" s="32" t="str">
        <f aca="false">IF(OR(C141="",E141=""),"",IF(H141="Yes",IFERROR(INDEX(Employees!$E$4:$E$43,MATCH(C141,Employees!$B$4:$B$43,0)),0),0))</f>
        <v/>
      </c>
      <c r="J141" s="33" t="str">
        <f aca="false">IF(G141="","",IF(H141="Yes",G141*I141,0))</f>
        <v/>
      </c>
      <c r="K141" s="33" t="str">
        <f aca="false">IF(OR(C141="",G141=""),"",G141*IFERROR(INDEX(Employees!$F$4:$F$43,MATCH(C141,Employees!$B$4:$B$43,0)),0))</f>
        <v/>
      </c>
      <c r="L141" s="28"/>
    </row>
    <row r="142" customFormat="false" ht="15" hidden="false" customHeight="false" outlineLevel="0" collapsed="false">
      <c r="A142" s="26"/>
      <c r="B142" s="19" t="str">
        <f aca="false">IF(A142="","",A142+7-WEEKDAY(A142,1)+1)</f>
        <v/>
      </c>
      <c r="C142" s="28"/>
      <c r="D142" s="29"/>
      <c r="E142" s="28"/>
      <c r="F142" s="28"/>
      <c r="G142" s="30"/>
      <c r="H142" s="23" t="str">
        <f aca="false">IF(E142="","",IFERROR(INDEX(Lists!$C$2:$C$86,MATCH(E142,Lists!$A$2:$A$86,0)),"?"))</f>
        <v/>
      </c>
      <c r="I142" s="24" t="str">
        <f aca="false">IF(OR(C142="",E142=""),"",IF(H142="Yes",IFERROR(INDEX(Employees!$E$4:$E$43,MATCH(C142,Employees!$B$4:$B$43,0)),0),0))</f>
        <v/>
      </c>
      <c r="J142" s="25" t="str">
        <f aca="false">IF(G142="","",IF(H142="Yes",G142*I142,0))</f>
        <v/>
      </c>
      <c r="K142" s="25" t="str">
        <f aca="false">IF(OR(C142="",G142=""),"",G142*IFERROR(INDEX(Employees!$F$4:$F$43,MATCH(C142,Employees!$B$4:$B$43,0)),0))</f>
        <v/>
      </c>
      <c r="L142" s="28"/>
    </row>
    <row r="143" customFormat="false" ht="15" hidden="false" customHeight="false" outlineLevel="0" collapsed="false">
      <c r="A143" s="26"/>
      <c r="B143" s="27" t="str">
        <f aca="false">IF(A143="","",A143+7-WEEKDAY(A143,1)+1)</f>
        <v/>
      </c>
      <c r="C143" s="28"/>
      <c r="D143" s="29"/>
      <c r="E143" s="28"/>
      <c r="F143" s="28"/>
      <c r="G143" s="30"/>
      <c r="H143" s="31" t="str">
        <f aca="false">IF(E143="","",IFERROR(INDEX(Lists!$C$2:$C$86,MATCH(E143,Lists!$A$2:$A$86,0)),"?"))</f>
        <v/>
      </c>
      <c r="I143" s="32" t="str">
        <f aca="false">IF(OR(C143="",E143=""),"",IF(H143="Yes",IFERROR(INDEX(Employees!$E$4:$E$43,MATCH(C143,Employees!$B$4:$B$43,0)),0),0))</f>
        <v/>
      </c>
      <c r="J143" s="33" t="str">
        <f aca="false">IF(G143="","",IF(H143="Yes",G143*I143,0))</f>
        <v/>
      </c>
      <c r="K143" s="33" t="str">
        <f aca="false">IF(OR(C143="",G143=""),"",G143*IFERROR(INDEX(Employees!$F$4:$F$43,MATCH(C143,Employees!$B$4:$B$43,0)),0))</f>
        <v/>
      </c>
      <c r="L143" s="28"/>
    </row>
    <row r="144" customFormat="false" ht="15" hidden="false" customHeight="false" outlineLevel="0" collapsed="false">
      <c r="A144" s="26"/>
      <c r="B144" s="19" t="str">
        <f aca="false">IF(A144="","",A144+7-WEEKDAY(A144,1)+1)</f>
        <v/>
      </c>
      <c r="C144" s="28"/>
      <c r="D144" s="29"/>
      <c r="E144" s="28"/>
      <c r="F144" s="28"/>
      <c r="G144" s="30"/>
      <c r="H144" s="23" t="str">
        <f aca="false">IF(E144="","",IFERROR(INDEX(Lists!$C$2:$C$86,MATCH(E144,Lists!$A$2:$A$86,0)),"?"))</f>
        <v/>
      </c>
      <c r="I144" s="24" t="str">
        <f aca="false">IF(OR(C144="",E144=""),"",IF(H144="Yes",IFERROR(INDEX(Employees!$E$4:$E$43,MATCH(C144,Employees!$B$4:$B$43,0)),0),0))</f>
        <v/>
      </c>
      <c r="J144" s="25" t="str">
        <f aca="false">IF(G144="","",IF(H144="Yes",G144*I144,0))</f>
        <v/>
      </c>
      <c r="K144" s="25" t="str">
        <f aca="false">IF(OR(C144="",G144=""),"",G144*IFERROR(INDEX(Employees!$F$4:$F$43,MATCH(C144,Employees!$B$4:$B$43,0)),0))</f>
        <v/>
      </c>
      <c r="L144" s="28"/>
    </row>
    <row r="145" customFormat="false" ht="15" hidden="false" customHeight="false" outlineLevel="0" collapsed="false">
      <c r="A145" s="26"/>
      <c r="B145" s="27" t="str">
        <f aca="false">IF(A145="","",A145+7-WEEKDAY(A145,1)+1)</f>
        <v/>
      </c>
      <c r="C145" s="28"/>
      <c r="D145" s="29"/>
      <c r="E145" s="28"/>
      <c r="F145" s="28"/>
      <c r="G145" s="30"/>
      <c r="H145" s="31" t="str">
        <f aca="false">IF(E145="","",IFERROR(INDEX(Lists!$C$2:$C$86,MATCH(E145,Lists!$A$2:$A$86,0)),"?"))</f>
        <v/>
      </c>
      <c r="I145" s="32" t="str">
        <f aca="false">IF(OR(C145="",E145=""),"",IF(H145="Yes",IFERROR(INDEX(Employees!$E$4:$E$43,MATCH(C145,Employees!$B$4:$B$43,0)),0),0))</f>
        <v/>
      </c>
      <c r="J145" s="33" t="str">
        <f aca="false">IF(G145="","",IF(H145="Yes",G145*I145,0))</f>
        <v/>
      </c>
      <c r="K145" s="33" t="str">
        <f aca="false">IF(OR(C145="",G145=""),"",G145*IFERROR(INDEX(Employees!$F$4:$F$43,MATCH(C145,Employees!$B$4:$B$43,0)),0))</f>
        <v/>
      </c>
      <c r="L145" s="28"/>
    </row>
    <row r="146" customFormat="false" ht="15" hidden="false" customHeight="false" outlineLevel="0" collapsed="false">
      <c r="A146" s="26"/>
      <c r="B146" s="19" t="str">
        <f aca="false">IF(A146="","",A146+7-WEEKDAY(A146,1)+1)</f>
        <v/>
      </c>
      <c r="C146" s="28"/>
      <c r="D146" s="29"/>
      <c r="E146" s="28"/>
      <c r="F146" s="28"/>
      <c r="G146" s="30"/>
      <c r="H146" s="23" t="str">
        <f aca="false">IF(E146="","",IFERROR(INDEX(Lists!$C$2:$C$86,MATCH(E146,Lists!$A$2:$A$86,0)),"?"))</f>
        <v/>
      </c>
      <c r="I146" s="24" t="str">
        <f aca="false">IF(OR(C146="",E146=""),"",IF(H146="Yes",IFERROR(INDEX(Employees!$E$4:$E$43,MATCH(C146,Employees!$B$4:$B$43,0)),0),0))</f>
        <v/>
      </c>
      <c r="J146" s="25" t="str">
        <f aca="false">IF(G146="","",IF(H146="Yes",G146*I146,0))</f>
        <v/>
      </c>
      <c r="K146" s="25" t="str">
        <f aca="false">IF(OR(C146="",G146=""),"",G146*IFERROR(INDEX(Employees!$F$4:$F$43,MATCH(C146,Employees!$B$4:$B$43,0)),0))</f>
        <v/>
      </c>
      <c r="L146" s="28"/>
    </row>
    <row r="147" customFormat="false" ht="15" hidden="false" customHeight="false" outlineLevel="0" collapsed="false">
      <c r="A147" s="26"/>
      <c r="B147" s="27" t="str">
        <f aca="false">IF(A147="","",A147+7-WEEKDAY(A147,1)+1)</f>
        <v/>
      </c>
      <c r="C147" s="28"/>
      <c r="D147" s="29"/>
      <c r="E147" s="28"/>
      <c r="F147" s="28"/>
      <c r="G147" s="30"/>
      <c r="H147" s="31" t="str">
        <f aca="false">IF(E147="","",IFERROR(INDEX(Lists!$C$2:$C$86,MATCH(E147,Lists!$A$2:$A$86,0)),"?"))</f>
        <v/>
      </c>
      <c r="I147" s="32" t="str">
        <f aca="false">IF(OR(C147="",E147=""),"",IF(H147="Yes",IFERROR(INDEX(Employees!$E$4:$E$43,MATCH(C147,Employees!$B$4:$B$43,0)),0),0))</f>
        <v/>
      </c>
      <c r="J147" s="33" t="str">
        <f aca="false">IF(G147="","",IF(H147="Yes",G147*I147,0))</f>
        <v/>
      </c>
      <c r="K147" s="33" t="str">
        <f aca="false">IF(OR(C147="",G147=""),"",G147*IFERROR(INDEX(Employees!$F$4:$F$43,MATCH(C147,Employees!$B$4:$B$43,0)),0))</f>
        <v/>
      </c>
      <c r="L147" s="28"/>
    </row>
    <row r="148" customFormat="false" ht="15" hidden="false" customHeight="false" outlineLevel="0" collapsed="false">
      <c r="A148" s="26"/>
      <c r="B148" s="19" t="str">
        <f aca="false">IF(A148="","",A148+7-WEEKDAY(A148,1)+1)</f>
        <v/>
      </c>
      <c r="C148" s="28"/>
      <c r="D148" s="29"/>
      <c r="E148" s="28"/>
      <c r="F148" s="28"/>
      <c r="G148" s="30"/>
      <c r="H148" s="23" t="str">
        <f aca="false">IF(E148="","",IFERROR(INDEX(Lists!$C$2:$C$86,MATCH(E148,Lists!$A$2:$A$86,0)),"?"))</f>
        <v/>
      </c>
      <c r="I148" s="24" t="str">
        <f aca="false">IF(OR(C148="",E148=""),"",IF(H148="Yes",IFERROR(INDEX(Employees!$E$4:$E$43,MATCH(C148,Employees!$B$4:$B$43,0)),0),0))</f>
        <v/>
      </c>
      <c r="J148" s="25" t="str">
        <f aca="false">IF(G148="","",IF(H148="Yes",G148*I148,0))</f>
        <v/>
      </c>
      <c r="K148" s="25" t="str">
        <f aca="false">IF(OR(C148="",G148=""),"",G148*IFERROR(INDEX(Employees!$F$4:$F$43,MATCH(C148,Employees!$B$4:$B$43,0)),0))</f>
        <v/>
      </c>
      <c r="L148" s="28"/>
    </row>
    <row r="149" customFormat="false" ht="15" hidden="false" customHeight="false" outlineLevel="0" collapsed="false">
      <c r="A149" s="26"/>
      <c r="B149" s="27" t="str">
        <f aca="false">IF(A149="","",A149+7-WEEKDAY(A149,1)+1)</f>
        <v/>
      </c>
      <c r="C149" s="28"/>
      <c r="D149" s="29"/>
      <c r="E149" s="28"/>
      <c r="F149" s="28"/>
      <c r="G149" s="30"/>
      <c r="H149" s="31" t="str">
        <f aca="false">IF(E149="","",IFERROR(INDEX(Lists!$C$2:$C$86,MATCH(E149,Lists!$A$2:$A$86,0)),"?"))</f>
        <v/>
      </c>
      <c r="I149" s="32" t="str">
        <f aca="false">IF(OR(C149="",E149=""),"",IF(H149="Yes",IFERROR(INDEX(Employees!$E$4:$E$43,MATCH(C149,Employees!$B$4:$B$43,0)),0),0))</f>
        <v/>
      </c>
      <c r="J149" s="33" t="str">
        <f aca="false">IF(G149="","",IF(H149="Yes",G149*I149,0))</f>
        <v/>
      </c>
      <c r="K149" s="33" t="str">
        <f aca="false">IF(OR(C149="",G149=""),"",G149*IFERROR(INDEX(Employees!$F$4:$F$43,MATCH(C149,Employees!$B$4:$B$43,0)),0))</f>
        <v/>
      </c>
      <c r="L149" s="28"/>
    </row>
    <row r="150" customFormat="false" ht="15" hidden="false" customHeight="false" outlineLevel="0" collapsed="false">
      <c r="A150" s="26"/>
      <c r="B150" s="19" t="str">
        <f aca="false">IF(A150="","",A150+7-WEEKDAY(A150,1)+1)</f>
        <v/>
      </c>
      <c r="C150" s="28"/>
      <c r="D150" s="29"/>
      <c r="E150" s="28"/>
      <c r="F150" s="28"/>
      <c r="G150" s="30"/>
      <c r="H150" s="23" t="str">
        <f aca="false">IF(E150="","",IFERROR(INDEX(Lists!$C$2:$C$86,MATCH(E150,Lists!$A$2:$A$86,0)),"?"))</f>
        <v/>
      </c>
      <c r="I150" s="24" t="str">
        <f aca="false">IF(OR(C150="",E150=""),"",IF(H150="Yes",IFERROR(INDEX(Employees!$E$4:$E$43,MATCH(C150,Employees!$B$4:$B$43,0)),0),0))</f>
        <v/>
      </c>
      <c r="J150" s="25" t="str">
        <f aca="false">IF(G150="","",IF(H150="Yes",G150*I150,0))</f>
        <v/>
      </c>
      <c r="K150" s="25" t="str">
        <f aca="false">IF(OR(C150="",G150=""),"",G150*IFERROR(INDEX(Employees!$F$4:$F$43,MATCH(C150,Employees!$B$4:$B$43,0)),0))</f>
        <v/>
      </c>
      <c r="L150" s="28"/>
    </row>
    <row r="151" customFormat="false" ht="15" hidden="false" customHeight="false" outlineLevel="0" collapsed="false">
      <c r="A151" s="26"/>
      <c r="B151" s="27" t="str">
        <f aca="false">IF(A151="","",A151+7-WEEKDAY(A151,1)+1)</f>
        <v/>
      </c>
      <c r="C151" s="28"/>
      <c r="D151" s="29"/>
      <c r="E151" s="28"/>
      <c r="F151" s="28"/>
      <c r="G151" s="30"/>
      <c r="H151" s="31" t="str">
        <f aca="false">IF(E151="","",IFERROR(INDEX(Lists!$C$2:$C$86,MATCH(E151,Lists!$A$2:$A$86,0)),"?"))</f>
        <v/>
      </c>
      <c r="I151" s="32" t="str">
        <f aca="false">IF(OR(C151="",E151=""),"",IF(H151="Yes",IFERROR(INDEX(Employees!$E$4:$E$43,MATCH(C151,Employees!$B$4:$B$43,0)),0),0))</f>
        <v/>
      </c>
      <c r="J151" s="33" t="str">
        <f aca="false">IF(G151="","",IF(H151="Yes",G151*I151,0))</f>
        <v/>
      </c>
      <c r="K151" s="33" t="str">
        <f aca="false">IF(OR(C151="",G151=""),"",G151*IFERROR(INDEX(Employees!$F$4:$F$43,MATCH(C151,Employees!$B$4:$B$43,0)),0))</f>
        <v/>
      </c>
      <c r="L151" s="28"/>
    </row>
    <row r="152" customFormat="false" ht="15" hidden="false" customHeight="false" outlineLevel="0" collapsed="false">
      <c r="A152" s="26"/>
      <c r="B152" s="19" t="str">
        <f aca="false">IF(A152="","",A152+7-WEEKDAY(A152,1)+1)</f>
        <v/>
      </c>
      <c r="C152" s="28"/>
      <c r="D152" s="29"/>
      <c r="E152" s="28"/>
      <c r="F152" s="28"/>
      <c r="G152" s="30"/>
      <c r="H152" s="23" t="str">
        <f aca="false">IF(E152="","",IFERROR(INDEX(Lists!$C$2:$C$86,MATCH(E152,Lists!$A$2:$A$86,0)),"?"))</f>
        <v/>
      </c>
      <c r="I152" s="24" t="str">
        <f aca="false">IF(OR(C152="",E152=""),"",IF(H152="Yes",IFERROR(INDEX(Employees!$E$4:$E$43,MATCH(C152,Employees!$B$4:$B$43,0)),0),0))</f>
        <v/>
      </c>
      <c r="J152" s="25" t="str">
        <f aca="false">IF(G152="","",IF(H152="Yes",G152*I152,0))</f>
        <v/>
      </c>
      <c r="K152" s="25" t="str">
        <f aca="false">IF(OR(C152="",G152=""),"",G152*IFERROR(INDEX(Employees!$F$4:$F$43,MATCH(C152,Employees!$B$4:$B$43,0)),0))</f>
        <v/>
      </c>
      <c r="L152" s="28"/>
    </row>
    <row r="153" customFormat="false" ht="15" hidden="false" customHeight="false" outlineLevel="0" collapsed="false">
      <c r="A153" s="26"/>
      <c r="B153" s="27" t="str">
        <f aca="false">IF(A153="","",A153+7-WEEKDAY(A153,1)+1)</f>
        <v/>
      </c>
      <c r="C153" s="28"/>
      <c r="D153" s="29"/>
      <c r="E153" s="28"/>
      <c r="F153" s="28"/>
      <c r="G153" s="30"/>
      <c r="H153" s="31" t="str">
        <f aca="false">IF(E153="","",IFERROR(INDEX(Lists!$C$2:$C$86,MATCH(E153,Lists!$A$2:$A$86,0)),"?"))</f>
        <v/>
      </c>
      <c r="I153" s="32" t="str">
        <f aca="false">IF(OR(C153="",E153=""),"",IF(H153="Yes",IFERROR(INDEX(Employees!$E$4:$E$43,MATCH(C153,Employees!$B$4:$B$43,0)),0),0))</f>
        <v/>
      </c>
      <c r="J153" s="33" t="str">
        <f aca="false">IF(G153="","",IF(H153="Yes",G153*I153,0))</f>
        <v/>
      </c>
      <c r="K153" s="33" t="str">
        <f aca="false">IF(OR(C153="",G153=""),"",G153*IFERROR(INDEX(Employees!$F$4:$F$43,MATCH(C153,Employees!$B$4:$B$43,0)),0))</f>
        <v/>
      </c>
      <c r="L153" s="28"/>
    </row>
    <row r="154" customFormat="false" ht="15" hidden="false" customHeight="false" outlineLevel="0" collapsed="false">
      <c r="A154" s="26"/>
      <c r="B154" s="19" t="str">
        <f aca="false">IF(A154="","",A154+7-WEEKDAY(A154,1)+1)</f>
        <v/>
      </c>
      <c r="C154" s="28"/>
      <c r="D154" s="29"/>
      <c r="E154" s="28"/>
      <c r="F154" s="28"/>
      <c r="G154" s="30"/>
      <c r="H154" s="23" t="str">
        <f aca="false">IF(E154="","",IFERROR(INDEX(Lists!$C$2:$C$86,MATCH(E154,Lists!$A$2:$A$86,0)),"?"))</f>
        <v/>
      </c>
      <c r="I154" s="24" t="str">
        <f aca="false">IF(OR(C154="",E154=""),"",IF(H154="Yes",IFERROR(INDEX(Employees!$E$4:$E$43,MATCH(C154,Employees!$B$4:$B$43,0)),0),0))</f>
        <v/>
      </c>
      <c r="J154" s="25" t="str">
        <f aca="false">IF(G154="","",IF(H154="Yes",G154*I154,0))</f>
        <v/>
      </c>
      <c r="K154" s="25" t="str">
        <f aca="false">IF(OR(C154="",G154=""),"",G154*IFERROR(INDEX(Employees!$F$4:$F$43,MATCH(C154,Employees!$B$4:$B$43,0)),0))</f>
        <v/>
      </c>
      <c r="L154" s="28"/>
    </row>
    <row r="155" customFormat="false" ht="15" hidden="false" customHeight="false" outlineLevel="0" collapsed="false">
      <c r="A155" s="26"/>
      <c r="B155" s="27" t="str">
        <f aca="false">IF(A155="","",A155+7-WEEKDAY(A155,1)+1)</f>
        <v/>
      </c>
      <c r="C155" s="28"/>
      <c r="D155" s="29"/>
      <c r="E155" s="28"/>
      <c r="F155" s="28"/>
      <c r="G155" s="30"/>
      <c r="H155" s="31" t="str">
        <f aca="false">IF(E155="","",IFERROR(INDEX(Lists!$C$2:$C$86,MATCH(E155,Lists!$A$2:$A$86,0)),"?"))</f>
        <v/>
      </c>
      <c r="I155" s="32" t="str">
        <f aca="false">IF(OR(C155="",E155=""),"",IF(H155="Yes",IFERROR(INDEX(Employees!$E$4:$E$43,MATCH(C155,Employees!$B$4:$B$43,0)),0),0))</f>
        <v/>
      </c>
      <c r="J155" s="33" t="str">
        <f aca="false">IF(G155="","",IF(H155="Yes",G155*I155,0))</f>
        <v/>
      </c>
      <c r="K155" s="33" t="str">
        <f aca="false">IF(OR(C155="",G155=""),"",G155*IFERROR(INDEX(Employees!$F$4:$F$43,MATCH(C155,Employees!$B$4:$B$43,0)),0))</f>
        <v/>
      </c>
      <c r="L155" s="28"/>
    </row>
    <row r="156" customFormat="false" ht="15" hidden="false" customHeight="false" outlineLevel="0" collapsed="false">
      <c r="A156" s="26"/>
      <c r="B156" s="19" t="str">
        <f aca="false">IF(A156="","",A156+7-WEEKDAY(A156,1)+1)</f>
        <v/>
      </c>
      <c r="C156" s="28"/>
      <c r="D156" s="29"/>
      <c r="E156" s="28"/>
      <c r="F156" s="28"/>
      <c r="G156" s="30"/>
      <c r="H156" s="23" t="str">
        <f aca="false">IF(E156="","",IFERROR(INDEX(Lists!$C$2:$C$86,MATCH(E156,Lists!$A$2:$A$86,0)),"?"))</f>
        <v/>
      </c>
      <c r="I156" s="24" t="str">
        <f aca="false">IF(OR(C156="",E156=""),"",IF(H156="Yes",IFERROR(INDEX(Employees!$E$4:$E$43,MATCH(C156,Employees!$B$4:$B$43,0)),0),0))</f>
        <v/>
      </c>
      <c r="J156" s="25" t="str">
        <f aca="false">IF(G156="","",IF(H156="Yes",G156*I156,0))</f>
        <v/>
      </c>
      <c r="K156" s="25" t="str">
        <f aca="false">IF(OR(C156="",G156=""),"",G156*IFERROR(INDEX(Employees!$F$4:$F$43,MATCH(C156,Employees!$B$4:$B$43,0)),0))</f>
        <v/>
      </c>
      <c r="L156" s="28"/>
    </row>
    <row r="157" customFormat="false" ht="15" hidden="false" customHeight="false" outlineLevel="0" collapsed="false">
      <c r="A157" s="26"/>
      <c r="B157" s="27" t="str">
        <f aca="false">IF(A157="","",A157+7-WEEKDAY(A157,1)+1)</f>
        <v/>
      </c>
      <c r="C157" s="28"/>
      <c r="D157" s="29"/>
      <c r="E157" s="28"/>
      <c r="F157" s="28"/>
      <c r="G157" s="30"/>
      <c r="H157" s="31" t="str">
        <f aca="false">IF(E157="","",IFERROR(INDEX(Lists!$C$2:$C$86,MATCH(E157,Lists!$A$2:$A$86,0)),"?"))</f>
        <v/>
      </c>
      <c r="I157" s="32" t="str">
        <f aca="false">IF(OR(C157="",E157=""),"",IF(H157="Yes",IFERROR(INDEX(Employees!$E$4:$E$43,MATCH(C157,Employees!$B$4:$B$43,0)),0),0))</f>
        <v/>
      </c>
      <c r="J157" s="33" t="str">
        <f aca="false">IF(G157="","",IF(H157="Yes",G157*I157,0))</f>
        <v/>
      </c>
      <c r="K157" s="33" t="str">
        <f aca="false">IF(OR(C157="",G157=""),"",G157*IFERROR(INDEX(Employees!$F$4:$F$43,MATCH(C157,Employees!$B$4:$B$43,0)),0))</f>
        <v/>
      </c>
      <c r="L157" s="28"/>
    </row>
    <row r="158" customFormat="false" ht="15" hidden="false" customHeight="false" outlineLevel="0" collapsed="false">
      <c r="A158" s="26"/>
      <c r="B158" s="19" t="str">
        <f aca="false">IF(A158="","",A158+7-WEEKDAY(A158,1)+1)</f>
        <v/>
      </c>
      <c r="C158" s="28"/>
      <c r="D158" s="29"/>
      <c r="E158" s="28"/>
      <c r="F158" s="28"/>
      <c r="G158" s="30"/>
      <c r="H158" s="23" t="str">
        <f aca="false">IF(E158="","",IFERROR(INDEX(Lists!$C$2:$C$86,MATCH(E158,Lists!$A$2:$A$86,0)),"?"))</f>
        <v/>
      </c>
      <c r="I158" s="24" t="str">
        <f aca="false">IF(OR(C158="",E158=""),"",IF(H158="Yes",IFERROR(INDEX(Employees!$E$4:$E$43,MATCH(C158,Employees!$B$4:$B$43,0)),0),0))</f>
        <v/>
      </c>
      <c r="J158" s="25" t="str">
        <f aca="false">IF(G158="","",IF(H158="Yes",G158*I158,0))</f>
        <v/>
      </c>
      <c r="K158" s="25" t="str">
        <f aca="false">IF(OR(C158="",G158=""),"",G158*IFERROR(INDEX(Employees!$F$4:$F$43,MATCH(C158,Employees!$B$4:$B$43,0)),0))</f>
        <v/>
      </c>
      <c r="L158" s="28"/>
    </row>
    <row r="159" customFormat="false" ht="15" hidden="false" customHeight="false" outlineLevel="0" collapsed="false">
      <c r="A159" s="26"/>
      <c r="B159" s="27" t="str">
        <f aca="false">IF(A159="","",A159+7-WEEKDAY(A159,1)+1)</f>
        <v/>
      </c>
      <c r="C159" s="28"/>
      <c r="D159" s="29"/>
      <c r="E159" s="28"/>
      <c r="F159" s="28"/>
      <c r="G159" s="30"/>
      <c r="H159" s="31" t="str">
        <f aca="false">IF(E159="","",IFERROR(INDEX(Lists!$C$2:$C$86,MATCH(E159,Lists!$A$2:$A$86,0)),"?"))</f>
        <v/>
      </c>
      <c r="I159" s="32" t="str">
        <f aca="false">IF(OR(C159="",E159=""),"",IF(H159="Yes",IFERROR(INDEX(Employees!$E$4:$E$43,MATCH(C159,Employees!$B$4:$B$43,0)),0),0))</f>
        <v/>
      </c>
      <c r="J159" s="33" t="str">
        <f aca="false">IF(G159="","",IF(H159="Yes",G159*I159,0))</f>
        <v/>
      </c>
      <c r="K159" s="33" t="str">
        <f aca="false">IF(OR(C159="",G159=""),"",G159*IFERROR(INDEX(Employees!$F$4:$F$43,MATCH(C159,Employees!$B$4:$B$43,0)),0))</f>
        <v/>
      </c>
      <c r="L159" s="28"/>
    </row>
    <row r="160" customFormat="false" ht="15" hidden="false" customHeight="false" outlineLevel="0" collapsed="false">
      <c r="A160" s="26"/>
      <c r="B160" s="19" t="str">
        <f aca="false">IF(A160="","",A160+7-WEEKDAY(A160,1)+1)</f>
        <v/>
      </c>
      <c r="C160" s="28"/>
      <c r="D160" s="29"/>
      <c r="E160" s="28"/>
      <c r="F160" s="28"/>
      <c r="G160" s="30"/>
      <c r="H160" s="23" t="str">
        <f aca="false">IF(E160="","",IFERROR(INDEX(Lists!$C$2:$C$86,MATCH(E160,Lists!$A$2:$A$86,0)),"?"))</f>
        <v/>
      </c>
      <c r="I160" s="24" t="str">
        <f aca="false">IF(OR(C160="",E160=""),"",IF(H160="Yes",IFERROR(INDEX(Employees!$E$4:$E$43,MATCH(C160,Employees!$B$4:$B$43,0)),0),0))</f>
        <v/>
      </c>
      <c r="J160" s="25" t="str">
        <f aca="false">IF(G160="","",IF(H160="Yes",G160*I160,0))</f>
        <v/>
      </c>
      <c r="K160" s="25" t="str">
        <f aca="false">IF(OR(C160="",G160=""),"",G160*IFERROR(INDEX(Employees!$F$4:$F$43,MATCH(C160,Employees!$B$4:$B$43,0)),0))</f>
        <v/>
      </c>
      <c r="L160" s="28"/>
    </row>
    <row r="161" customFormat="false" ht="15" hidden="false" customHeight="false" outlineLevel="0" collapsed="false">
      <c r="A161" s="26"/>
      <c r="B161" s="27" t="str">
        <f aca="false">IF(A161="","",A161+7-WEEKDAY(A161,1)+1)</f>
        <v/>
      </c>
      <c r="C161" s="28"/>
      <c r="D161" s="29"/>
      <c r="E161" s="28"/>
      <c r="F161" s="28"/>
      <c r="G161" s="30"/>
      <c r="H161" s="31" t="str">
        <f aca="false">IF(E161="","",IFERROR(INDEX(Lists!$C$2:$C$86,MATCH(E161,Lists!$A$2:$A$86,0)),"?"))</f>
        <v/>
      </c>
      <c r="I161" s="32" t="str">
        <f aca="false">IF(OR(C161="",E161=""),"",IF(H161="Yes",IFERROR(INDEX(Employees!$E$4:$E$43,MATCH(C161,Employees!$B$4:$B$43,0)),0),0))</f>
        <v/>
      </c>
      <c r="J161" s="33" t="str">
        <f aca="false">IF(G161="","",IF(H161="Yes",G161*I161,0))</f>
        <v/>
      </c>
      <c r="K161" s="33" t="str">
        <f aca="false">IF(OR(C161="",G161=""),"",G161*IFERROR(INDEX(Employees!$F$4:$F$43,MATCH(C161,Employees!$B$4:$B$43,0)),0))</f>
        <v/>
      </c>
      <c r="L161" s="28"/>
    </row>
    <row r="162" customFormat="false" ht="15" hidden="false" customHeight="false" outlineLevel="0" collapsed="false">
      <c r="A162" s="26"/>
      <c r="B162" s="19" t="str">
        <f aca="false">IF(A162="","",A162+7-WEEKDAY(A162,1)+1)</f>
        <v/>
      </c>
      <c r="C162" s="28"/>
      <c r="D162" s="29"/>
      <c r="E162" s="28"/>
      <c r="F162" s="28"/>
      <c r="G162" s="30"/>
      <c r="H162" s="23" t="str">
        <f aca="false">IF(E162="","",IFERROR(INDEX(Lists!$C$2:$C$86,MATCH(E162,Lists!$A$2:$A$86,0)),"?"))</f>
        <v/>
      </c>
      <c r="I162" s="24" t="str">
        <f aca="false">IF(OR(C162="",E162=""),"",IF(H162="Yes",IFERROR(INDEX(Employees!$E$4:$E$43,MATCH(C162,Employees!$B$4:$B$43,0)),0),0))</f>
        <v/>
      </c>
      <c r="J162" s="25" t="str">
        <f aca="false">IF(G162="","",IF(H162="Yes",G162*I162,0))</f>
        <v/>
      </c>
      <c r="K162" s="25" t="str">
        <f aca="false">IF(OR(C162="",G162=""),"",G162*IFERROR(INDEX(Employees!$F$4:$F$43,MATCH(C162,Employees!$B$4:$B$43,0)),0))</f>
        <v/>
      </c>
      <c r="L162" s="28"/>
    </row>
    <row r="163" customFormat="false" ht="15" hidden="false" customHeight="false" outlineLevel="0" collapsed="false">
      <c r="A163" s="26"/>
      <c r="B163" s="27" t="str">
        <f aca="false">IF(A163="","",A163+7-WEEKDAY(A163,1)+1)</f>
        <v/>
      </c>
      <c r="C163" s="28"/>
      <c r="D163" s="29"/>
      <c r="E163" s="28"/>
      <c r="F163" s="28"/>
      <c r="G163" s="30"/>
      <c r="H163" s="31" t="str">
        <f aca="false">IF(E163="","",IFERROR(INDEX(Lists!$C$2:$C$86,MATCH(E163,Lists!$A$2:$A$86,0)),"?"))</f>
        <v/>
      </c>
      <c r="I163" s="32" t="str">
        <f aca="false">IF(OR(C163="",E163=""),"",IF(H163="Yes",IFERROR(INDEX(Employees!$E$4:$E$43,MATCH(C163,Employees!$B$4:$B$43,0)),0),0))</f>
        <v/>
      </c>
      <c r="J163" s="33" t="str">
        <f aca="false">IF(G163="","",IF(H163="Yes",G163*I163,0))</f>
        <v/>
      </c>
      <c r="K163" s="33" t="str">
        <f aca="false">IF(OR(C163="",G163=""),"",G163*IFERROR(INDEX(Employees!$F$4:$F$43,MATCH(C163,Employees!$B$4:$B$43,0)),0))</f>
        <v/>
      </c>
      <c r="L163" s="28"/>
    </row>
    <row r="164" customFormat="false" ht="15" hidden="false" customHeight="false" outlineLevel="0" collapsed="false">
      <c r="A164" s="26"/>
      <c r="B164" s="19" t="str">
        <f aca="false">IF(A164="","",A164+7-WEEKDAY(A164,1)+1)</f>
        <v/>
      </c>
      <c r="C164" s="28"/>
      <c r="D164" s="29"/>
      <c r="E164" s="28"/>
      <c r="F164" s="28"/>
      <c r="G164" s="30"/>
      <c r="H164" s="23" t="str">
        <f aca="false">IF(E164="","",IFERROR(INDEX(Lists!$C$2:$C$86,MATCH(E164,Lists!$A$2:$A$86,0)),"?"))</f>
        <v/>
      </c>
      <c r="I164" s="24" t="str">
        <f aca="false">IF(OR(C164="",E164=""),"",IF(H164="Yes",IFERROR(INDEX(Employees!$E$4:$E$43,MATCH(C164,Employees!$B$4:$B$43,0)),0),0))</f>
        <v/>
      </c>
      <c r="J164" s="25" t="str">
        <f aca="false">IF(G164="","",IF(H164="Yes",G164*I164,0))</f>
        <v/>
      </c>
      <c r="K164" s="25" t="str">
        <f aca="false">IF(OR(C164="",G164=""),"",G164*IFERROR(INDEX(Employees!$F$4:$F$43,MATCH(C164,Employees!$B$4:$B$43,0)),0))</f>
        <v/>
      </c>
      <c r="L164" s="28"/>
    </row>
    <row r="165" customFormat="false" ht="15" hidden="false" customHeight="false" outlineLevel="0" collapsed="false">
      <c r="A165" s="26"/>
      <c r="B165" s="27" t="str">
        <f aca="false">IF(A165="","",A165+7-WEEKDAY(A165,1)+1)</f>
        <v/>
      </c>
      <c r="C165" s="28"/>
      <c r="D165" s="29"/>
      <c r="E165" s="28"/>
      <c r="F165" s="28"/>
      <c r="G165" s="30"/>
      <c r="H165" s="31" t="str">
        <f aca="false">IF(E165="","",IFERROR(INDEX(Lists!$C$2:$C$86,MATCH(E165,Lists!$A$2:$A$86,0)),"?"))</f>
        <v/>
      </c>
      <c r="I165" s="32" t="str">
        <f aca="false">IF(OR(C165="",E165=""),"",IF(H165="Yes",IFERROR(INDEX(Employees!$E$4:$E$43,MATCH(C165,Employees!$B$4:$B$43,0)),0),0))</f>
        <v/>
      </c>
      <c r="J165" s="33" t="str">
        <f aca="false">IF(G165="","",IF(H165="Yes",G165*I165,0))</f>
        <v/>
      </c>
      <c r="K165" s="33" t="str">
        <f aca="false">IF(OR(C165="",G165=""),"",G165*IFERROR(INDEX(Employees!$F$4:$F$43,MATCH(C165,Employees!$B$4:$B$43,0)),0))</f>
        <v/>
      </c>
      <c r="L165" s="28"/>
    </row>
    <row r="166" customFormat="false" ht="15" hidden="false" customHeight="false" outlineLevel="0" collapsed="false">
      <c r="A166" s="26"/>
      <c r="B166" s="19" t="str">
        <f aca="false">IF(A166="","",A166+7-WEEKDAY(A166,1)+1)</f>
        <v/>
      </c>
      <c r="C166" s="28"/>
      <c r="D166" s="29"/>
      <c r="E166" s="28"/>
      <c r="F166" s="28"/>
      <c r="G166" s="30"/>
      <c r="H166" s="23" t="str">
        <f aca="false">IF(E166="","",IFERROR(INDEX(Lists!$C$2:$C$86,MATCH(E166,Lists!$A$2:$A$86,0)),"?"))</f>
        <v/>
      </c>
      <c r="I166" s="24" t="str">
        <f aca="false">IF(OR(C166="",E166=""),"",IF(H166="Yes",IFERROR(INDEX(Employees!$E$4:$E$43,MATCH(C166,Employees!$B$4:$B$43,0)),0),0))</f>
        <v/>
      </c>
      <c r="J166" s="25" t="str">
        <f aca="false">IF(G166="","",IF(H166="Yes",G166*I166,0))</f>
        <v/>
      </c>
      <c r="K166" s="25" t="str">
        <f aca="false">IF(OR(C166="",G166=""),"",G166*IFERROR(INDEX(Employees!$F$4:$F$43,MATCH(C166,Employees!$B$4:$B$43,0)),0))</f>
        <v/>
      </c>
      <c r="L166" s="28"/>
    </row>
    <row r="167" customFormat="false" ht="15" hidden="false" customHeight="false" outlineLevel="0" collapsed="false">
      <c r="A167" s="26"/>
      <c r="B167" s="27" t="str">
        <f aca="false">IF(A167="","",A167+7-WEEKDAY(A167,1)+1)</f>
        <v/>
      </c>
      <c r="C167" s="28"/>
      <c r="D167" s="29"/>
      <c r="E167" s="28"/>
      <c r="F167" s="28"/>
      <c r="G167" s="30"/>
      <c r="H167" s="31" t="str">
        <f aca="false">IF(E167="","",IFERROR(INDEX(Lists!$C$2:$C$86,MATCH(E167,Lists!$A$2:$A$86,0)),"?"))</f>
        <v/>
      </c>
      <c r="I167" s="32" t="str">
        <f aca="false">IF(OR(C167="",E167=""),"",IF(H167="Yes",IFERROR(INDEX(Employees!$E$4:$E$43,MATCH(C167,Employees!$B$4:$B$43,0)),0),0))</f>
        <v/>
      </c>
      <c r="J167" s="33" t="str">
        <f aca="false">IF(G167="","",IF(H167="Yes",G167*I167,0))</f>
        <v/>
      </c>
      <c r="K167" s="33" t="str">
        <f aca="false">IF(OR(C167="",G167=""),"",G167*IFERROR(INDEX(Employees!$F$4:$F$43,MATCH(C167,Employees!$B$4:$B$43,0)),0))</f>
        <v/>
      </c>
      <c r="L167" s="28"/>
    </row>
    <row r="168" customFormat="false" ht="15" hidden="false" customHeight="false" outlineLevel="0" collapsed="false">
      <c r="A168" s="26"/>
      <c r="B168" s="19" t="str">
        <f aca="false">IF(A168="","",A168+7-WEEKDAY(A168,1)+1)</f>
        <v/>
      </c>
      <c r="C168" s="28"/>
      <c r="D168" s="29"/>
      <c r="E168" s="28"/>
      <c r="F168" s="28"/>
      <c r="G168" s="30"/>
      <c r="H168" s="23" t="str">
        <f aca="false">IF(E168="","",IFERROR(INDEX(Lists!$C$2:$C$86,MATCH(E168,Lists!$A$2:$A$86,0)),"?"))</f>
        <v/>
      </c>
      <c r="I168" s="24" t="str">
        <f aca="false">IF(OR(C168="",E168=""),"",IF(H168="Yes",IFERROR(INDEX(Employees!$E$4:$E$43,MATCH(C168,Employees!$B$4:$B$43,0)),0),0))</f>
        <v/>
      </c>
      <c r="J168" s="25" t="str">
        <f aca="false">IF(G168="","",IF(H168="Yes",G168*I168,0))</f>
        <v/>
      </c>
      <c r="K168" s="25" t="str">
        <f aca="false">IF(OR(C168="",G168=""),"",G168*IFERROR(INDEX(Employees!$F$4:$F$43,MATCH(C168,Employees!$B$4:$B$43,0)),0))</f>
        <v/>
      </c>
      <c r="L168" s="28"/>
    </row>
    <row r="169" customFormat="false" ht="15" hidden="false" customHeight="false" outlineLevel="0" collapsed="false">
      <c r="A169" s="26"/>
      <c r="B169" s="27" t="str">
        <f aca="false">IF(A169="","",A169+7-WEEKDAY(A169,1)+1)</f>
        <v/>
      </c>
      <c r="C169" s="28"/>
      <c r="D169" s="29"/>
      <c r="E169" s="28"/>
      <c r="F169" s="28"/>
      <c r="G169" s="30"/>
      <c r="H169" s="31" t="str">
        <f aca="false">IF(E169="","",IFERROR(INDEX(Lists!$C$2:$C$86,MATCH(E169,Lists!$A$2:$A$86,0)),"?"))</f>
        <v/>
      </c>
      <c r="I169" s="32" t="str">
        <f aca="false">IF(OR(C169="",E169=""),"",IF(H169="Yes",IFERROR(INDEX(Employees!$E$4:$E$43,MATCH(C169,Employees!$B$4:$B$43,0)),0),0))</f>
        <v/>
      </c>
      <c r="J169" s="33" t="str">
        <f aca="false">IF(G169="","",IF(H169="Yes",G169*I169,0))</f>
        <v/>
      </c>
      <c r="K169" s="33" t="str">
        <f aca="false">IF(OR(C169="",G169=""),"",G169*IFERROR(INDEX(Employees!$F$4:$F$43,MATCH(C169,Employees!$B$4:$B$43,0)),0))</f>
        <v/>
      </c>
      <c r="L169" s="28"/>
    </row>
    <row r="170" customFormat="false" ht="15" hidden="false" customHeight="false" outlineLevel="0" collapsed="false">
      <c r="A170" s="26"/>
      <c r="B170" s="19" t="str">
        <f aca="false">IF(A170="","",A170+7-WEEKDAY(A170,1)+1)</f>
        <v/>
      </c>
      <c r="C170" s="28"/>
      <c r="D170" s="29"/>
      <c r="E170" s="28"/>
      <c r="F170" s="28"/>
      <c r="G170" s="30"/>
      <c r="H170" s="23" t="str">
        <f aca="false">IF(E170="","",IFERROR(INDEX(Lists!$C$2:$C$86,MATCH(E170,Lists!$A$2:$A$86,0)),"?"))</f>
        <v/>
      </c>
      <c r="I170" s="24" t="str">
        <f aca="false">IF(OR(C170="",E170=""),"",IF(H170="Yes",IFERROR(INDEX(Employees!$E$4:$E$43,MATCH(C170,Employees!$B$4:$B$43,0)),0),0))</f>
        <v/>
      </c>
      <c r="J170" s="25" t="str">
        <f aca="false">IF(G170="","",IF(H170="Yes",G170*I170,0))</f>
        <v/>
      </c>
      <c r="K170" s="25" t="str">
        <f aca="false">IF(OR(C170="",G170=""),"",G170*IFERROR(INDEX(Employees!$F$4:$F$43,MATCH(C170,Employees!$B$4:$B$43,0)),0))</f>
        <v/>
      </c>
      <c r="L170" s="28"/>
    </row>
    <row r="171" customFormat="false" ht="15" hidden="false" customHeight="false" outlineLevel="0" collapsed="false">
      <c r="A171" s="26"/>
      <c r="B171" s="27" t="str">
        <f aca="false">IF(A171="","",A171+7-WEEKDAY(A171,1)+1)</f>
        <v/>
      </c>
      <c r="C171" s="28"/>
      <c r="D171" s="29"/>
      <c r="E171" s="28"/>
      <c r="F171" s="28"/>
      <c r="G171" s="30"/>
      <c r="H171" s="31" t="str">
        <f aca="false">IF(E171="","",IFERROR(INDEX(Lists!$C$2:$C$86,MATCH(E171,Lists!$A$2:$A$86,0)),"?"))</f>
        <v/>
      </c>
      <c r="I171" s="32" t="str">
        <f aca="false">IF(OR(C171="",E171=""),"",IF(H171="Yes",IFERROR(INDEX(Employees!$E$4:$E$43,MATCH(C171,Employees!$B$4:$B$43,0)),0),0))</f>
        <v/>
      </c>
      <c r="J171" s="33" t="str">
        <f aca="false">IF(G171="","",IF(H171="Yes",G171*I171,0))</f>
        <v/>
      </c>
      <c r="K171" s="33" t="str">
        <f aca="false">IF(OR(C171="",G171=""),"",G171*IFERROR(INDEX(Employees!$F$4:$F$43,MATCH(C171,Employees!$B$4:$B$43,0)),0))</f>
        <v/>
      </c>
      <c r="L171" s="28"/>
    </row>
    <row r="172" customFormat="false" ht="15" hidden="false" customHeight="false" outlineLevel="0" collapsed="false">
      <c r="A172" s="26"/>
      <c r="B172" s="19" t="str">
        <f aca="false">IF(A172="","",A172+7-WEEKDAY(A172,1)+1)</f>
        <v/>
      </c>
      <c r="C172" s="28"/>
      <c r="D172" s="29"/>
      <c r="E172" s="28"/>
      <c r="F172" s="28"/>
      <c r="G172" s="30"/>
      <c r="H172" s="23" t="str">
        <f aca="false">IF(E172="","",IFERROR(INDEX(Lists!$C$2:$C$86,MATCH(E172,Lists!$A$2:$A$86,0)),"?"))</f>
        <v/>
      </c>
      <c r="I172" s="24" t="str">
        <f aca="false">IF(OR(C172="",E172=""),"",IF(H172="Yes",IFERROR(INDEX(Employees!$E$4:$E$43,MATCH(C172,Employees!$B$4:$B$43,0)),0),0))</f>
        <v/>
      </c>
      <c r="J172" s="25" t="str">
        <f aca="false">IF(G172="","",IF(H172="Yes",G172*I172,0))</f>
        <v/>
      </c>
      <c r="K172" s="25" t="str">
        <f aca="false">IF(OR(C172="",G172=""),"",G172*IFERROR(INDEX(Employees!$F$4:$F$43,MATCH(C172,Employees!$B$4:$B$43,0)),0))</f>
        <v/>
      </c>
      <c r="L172" s="28"/>
    </row>
    <row r="173" customFormat="false" ht="15" hidden="false" customHeight="false" outlineLevel="0" collapsed="false">
      <c r="A173" s="26"/>
      <c r="B173" s="27" t="str">
        <f aca="false">IF(A173="","",A173+7-WEEKDAY(A173,1)+1)</f>
        <v/>
      </c>
      <c r="C173" s="28"/>
      <c r="D173" s="29"/>
      <c r="E173" s="28"/>
      <c r="F173" s="28"/>
      <c r="G173" s="30"/>
      <c r="H173" s="31" t="str">
        <f aca="false">IF(E173="","",IFERROR(INDEX(Lists!$C$2:$C$86,MATCH(E173,Lists!$A$2:$A$86,0)),"?"))</f>
        <v/>
      </c>
      <c r="I173" s="32" t="str">
        <f aca="false">IF(OR(C173="",E173=""),"",IF(H173="Yes",IFERROR(INDEX(Employees!$E$4:$E$43,MATCH(C173,Employees!$B$4:$B$43,0)),0),0))</f>
        <v/>
      </c>
      <c r="J173" s="33" t="str">
        <f aca="false">IF(G173="","",IF(H173="Yes",G173*I173,0))</f>
        <v/>
      </c>
      <c r="K173" s="33" t="str">
        <f aca="false">IF(OR(C173="",G173=""),"",G173*IFERROR(INDEX(Employees!$F$4:$F$43,MATCH(C173,Employees!$B$4:$B$43,0)),0))</f>
        <v/>
      </c>
      <c r="L173" s="28"/>
    </row>
    <row r="174" customFormat="false" ht="15" hidden="false" customHeight="false" outlineLevel="0" collapsed="false">
      <c r="A174" s="26"/>
      <c r="B174" s="19" t="str">
        <f aca="false">IF(A174="","",A174+7-WEEKDAY(A174,1)+1)</f>
        <v/>
      </c>
      <c r="C174" s="28"/>
      <c r="D174" s="29"/>
      <c r="E174" s="28"/>
      <c r="F174" s="28"/>
      <c r="G174" s="30"/>
      <c r="H174" s="23" t="str">
        <f aca="false">IF(E174="","",IFERROR(INDEX(Lists!$C$2:$C$86,MATCH(E174,Lists!$A$2:$A$86,0)),"?"))</f>
        <v/>
      </c>
      <c r="I174" s="24" t="str">
        <f aca="false">IF(OR(C174="",E174=""),"",IF(H174="Yes",IFERROR(INDEX(Employees!$E$4:$E$43,MATCH(C174,Employees!$B$4:$B$43,0)),0),0))</f>
        <v/>
      </c>
      <c r="J174" s="25" t="str">
        <f aca="false">IF(G174="","",IF(H174="Yes",G174*I174,0))</f>
        <v/>
      </c>
      <c r="K174" s="25" t="str">
        <f aca="false">IF(OR(C174="",G174=""),"",G174*IFERROR(INDEX(Employees!$F$4:$F$43,MATCH(C174,Employees!$B$4:$B$43,0)),0))</f>
        <v/>
      </c>
      <c r="L174" s="28"/>
    </row>
    <row r="175" customFormat="false" ht="15" hidden="false" customHeight="false" outlineLevel="0" collapsed="false">
      <c r="A175" s="26"/>
      <c r="B175" s="27" t="str">
        <f aca="false">IF(A175="","",A175+7-WEEKDAY(A175,1)+1)</f>
        <v/>
      </c>
      <c r="C175" s="28"/>
      <c r="D175" s="29"/>
      <c r="E175" s="28"/>
      <c r="F175" s="28"/>
      <c r="G175" s="30"/>
      <c r="H175" s="31" t="str">
        <f aca="false">IF(E175="","",IFERROR(INDEX(Lists!$C$2:$C$86,MATCH(E175,Lists!$A$2:$A$86,0)),"?"))</f>
        <v/>
      </c>
      <c r="I175" s="32" t="str">
        <f aca="false">IF(OR(C175="",E175=""),"",IF(H175="Yes",IFERROR(INDEX(Employees!$E$4:$E$43,MATCH(C175,Employees!$B$4:$B$43,0)),0),0))</f>
        <v/>
      </c>
      <c r="J175" s="33" t="str">
        <f aca="false">IF(G175="","",IF(H175="Yes",G175*I175,0))</f>
        <v/>
      </c>
      <c r="K175" s="33" t="str">
        <f aca="false">IF(OR(C175="",G175=""),"",G175*IFERROR(INDEX(Employees!$F$4:$F$43,MATCH(C175,Employees!$B$4:$B$43,0)),0))</f>
        <v/>
      </c>
      <c r="L175" s="28"/>
    </row>
    <row r="176" customFormat="false" ht="15" hidden="false" customHeight="false" outlineLevel="0" collapsed="false">
      <c r="A176" s="26"/>
      <c r="B176" s="19" t="str">
        <f aca="false">IF(A176="","",A176+7-WEEKDAY(A176,1)+1)</f>
        <v/>
      </c>
      <c r="C176" s="28"/>
      <c r="D176" s="29"/>
      <c r="E176" s="28"/>
      <c r="F176" s="28"/>
      <c r="G176" s="30"/>
      <c r="H176" s="23" t="str">
        <f aca="false">IF(E176="","",IFERROR(INDEX(Lists!$C$2:$C$86,MATCH(E176,Lists!$A$2:$A$86,0)),"?"))</f>
        <v/>
      </c>
      <c r="I176" s="24" t="str">
        <f aca="false">IF(OR(C176="",E176=""),"",IF(H176="Yes",IFERROR(INDEX(Employees!$E$4:$E$43,MATCH(C176,Employees!$B$4:$B$43,0)),0),0))</f>
        <v/>
      </c>
      <c r="J176" s="25" t="str">
        <f aca="false">IF(G176="","",IF(H176="Yes",G176*I176,0))</f>
        <v/>
      </c>
      <c r="K176" s="25" t="str">
        <f aca="false">IF(OR(C176="",G176=""),"",G176*IFERROR(INDEX(Employees!$F$4:$F$43,MATCH(C176,Employees!$B$4:$B$43,0)),0))</f>
        <v/>
      </c>
      <c r="L176" s="28"/>
    </row>
    <row r="177" customFormat="false" ht="15" hidden="false" customHeight="false" outlineLevel="0" collapsed="false">
      <c r="A177" s="26"/>
      <c r="B177" s="27" t="str">
        <f aca="false">IF(A177="","",A177+7-WEEKDAY(A177,1)+1)</f>
        <v/>
      </c>
      <c r="C177" s="28"/>
      <c r="D177" s="29"/>
      <c r="E177" s="28"/>
      <c r="F177" s="28"/>
      <c r="G177" s="30"/>
      <c r="H177" s="31" t="str">
        <f aca="false">IF(E177="","",IFERROR(INDEX(Lists!$C$2:$C$86,MATCH(E177,Lists!$A$2:$A$86,0)),"?"))</f>
        <v/>
      </c>
      <c r="I177" s="32" t="str">
        <f aca="false">IF(OR(C177="",E177=""),"",IF(H177="Yes",IFERROR(INDEX(Employees!$E$4:$E$43,MATCH(C177,Employees!$B$4:$B$43,0)),0),0))</f>
        <v/>
      </c>
      <c r="J177" s="33" t="str">
        <f aca="false">IF(G177="","",IF(H177="Yes",G177*I177,0))</f>
        <v/>
      </c>
      <c r="K177" s="33" t="str">
        <f aca="false">IF(OR(C177="",G177=""),"",G177*IFERROR(INDEX(Employees!$F$4:$F$43,MATCH(C177,Employees!$B$4:$B$43,0)),0))</f>
        <v/>
      </c>
      <c r="L177" s="28"/>
    </row>
    <row r="178" customFormat="false" ht="15" hidden="false" customHeight="false" outlineLevel="0" collapsed="false">
      <c r="A178" s="26"/>
      <c r="B178" s="19" t="str">
        <f aca="false">IF(A178="","",A178+7-WEEKDAY(A178,1)+1)</f>
        <v/>
      </c>
      <c r="C178" s="28"/>
      <c r="D178" s="29"/>
      <c r="E178" s="28"/>
      <c r="F178" s="28"/>
      <c r="G178" s="30"/>
      <c r="H178" s="23" t="str">
        <f aca="false">IF(E178="","",IFERROR(INDEX(Lists!$C$2:$C$86,MATCH(E178,Lists!$A$2:$A$86,0)),"?"))</f>
        <v/>
      </c>
      <c r="I178" s="24" t="str">
        <f aca="false">IF(OR(C178="",E178=""),"",IF(H178="Yes",IFERROR(INDEX(Employees!$E$4:$E$43,MATCH(C178,Employees!$B$4:$B$43,0)),0),0))</f>
        <v/>
      </c>
      <c r="J178" s="25" t="str">
        <f aca="false">IF(G178="","",IF(H178="Yes",G178*I178,0))</f>
        <v/>
      </c>
      <c r="K178" s="25" t="str">
        <f aca="false">IF(OR(C178="",G178=""),"",G178*IFERROR(INDEX(Employees!$F$4:$F$43,MATCH(C178,Employees!$B$4:$B$43,0)),0))</f>
        <v/>
      </c>
      <c r="L178" s="28"/>
    </row>
    <row r="179" customFormat="false" ht="15" hidden="false" customHeight="false" outlineLevel="0" collapsed="false">
      <c r="A179" s="26"/>
      <c r="B179" s="27" t="str">
        <f aca="false">IF(A179="","",A179+7-WEEKDAY(A179,1)+1)</f>
        <v/>
      </c>
      <c r="C179" s="28"/>
      <c r="D179" s="29"/>
      <c r="E179" s="28"/>
      <c r="F179" s="28"/>
      <c r="G179" s="30"/>
      <c r="H179" s="31" t="str">
        <f aca="false">IF(E179="","",IFERROR(INDEX(Lists!$C$2:$C$86,MATCH(E179,Lists!$A$2:$A$86,0)),"?"))</f>
        <v/>
      </c>
      <c r="I179" s="32" t="str">
        <f aca="false">IF(OR(C179="",E179=""),"",IF(H179="Yes",IFERROR(INDEX(Employees!$E$4:$E$43,MATCH(C179,Employees!$B$4:$B$43,0)),0),0))</f>
        <v/>
      </c>
      <c r="J179" s="33" t="str">
        <f aca="false">IF(G179="","",IF(H179="Yes",G179*I179,0))</f>
        <v/>
      </c>
      <c r="K179" s="33" t="str">
        <f aca="false">IF(OR(C179="",G179=""),"",G179*IFERROR(INDEX(Employees!$F$4:$F$43,MATCH(C179,Employees!$B$4:$B$43,0)),0))</f>
        <v/>
      </c>
      <c r="L179" s="28"/>
    </row>
    <row r="180" customFormat="false" ht="15" hidden="false" customHeight="false" outlineLevel="0" collapsed="false">
      <c r="A180" s="26"/>
      <c r="B180" s="19" t="str">
        <f aca="false">IF(A180="","",A180+7-WEEKDAY(A180,1)+1)</f>
        <v/>
      </c>
      <c r="C180" s="28"/>
      <c r="D180" s="29"/>
      <c r="E180" s="28"/>
      <c r="F180" s="28"/>
      <c r="G180" s="30"/>
      <c r="H180" s="23" t="str">
        <f aca="false">IF(E180="","",IFERROR(INDEX(Lists!$C$2:$C$86,MATCH(E180,Lists!$A$2:$A$86,0)),"?"))</f>
        <v/>
      </c>
      <c r="I180" s="24" t="str">
        <f aca="false">IF(OR(C180="",E180=""),"",IF(H180="Yes",IFERROR(INDEX(Employees!$E$4:$E$43,MATCH(C180,Employees!$B$4:$B$43,0)),0),0))</f>
        <v/>
      </c>
      <c r="J180" s="25" t="str">
        <f aca="false">IF(G180="","",IF(H180="Yes",G180*I180,0))</f>
        <v/>
      </c>
      <c r="K180" s="25" t="str">
        <f aca="false">IF(OR(C180="",G180=""),"",G180*IFERROR(INDEX(Employees!$F$4:$F$43,MATCH(C180,Employees!$B$4:$B$43,0)),0))</f>
        <v/>
      </c>
      <c r="L180" s="28"/>
    </row>
    <row r="181" customFormat="false" ht="15" hidden="false" customHeight="false" outlineLevel="0" collapsed="false">
      <c r="A181" s="26"/>
      <c r="B181" s="27" t="str">
        <f aca="false">IF(A181="","",A181+7-WEEKDAY(A181,1)+1)</f>
        <v/>
      </c>
      <c r="C181" s="28"/>
      <c r="D181" s="29"/>
      <c r="E181" s="28"/>
      <c r="F181" s="28"/>
      <c r="G181" s="30"/>
      <c r="H181" s="31" t="str">
        <f aca="false">IF(E181="","",IFERROR(INDEX(Lists!$C$2:$C$86,MATCH(E181,Lists!$A$2:$A$86,0)),"?"))</f>
        <v/>
      </c>
      <c r="I181" s="32" t="str">
        <f aca="false">IF(OR(C181="",E181=""),"",IF(H181="Yes",IFERROR(INDEX(Employees!$E$4:$E$43,MATCH(C181,Employees!$B$4:$B$43,0)),0),0))</f>
        <v/>
      </c>
      <c r="J181" s="33" t="str">
        <f aca="false">IF(G181="","",IF(H181="Yes",G181*I181,0))</f>
        <v/>
      </c>
      <c r="K181" s="33" t="str">
        <f aca="false">IF(OR(C181="",G181=""),"",G181*IFERROR(INDEX(Employees!$F$4:$F$43,MATCH(C181,Employees!$B$4:$B$43,0)),0))</f>
        <v/>
      </c>
      <c r="L181" s="28"/>
    </row>
    <row r="182" customFormat="false" ht="15" hidden="false" customHeight="false" outlineLevel="0" collapsed="false">
      <c r="A182" s="26"/>
      <c r="B182" s="19" t="str">
        <f aca="false">IF(A182="","",A182+7-WEEKDAY(A182,1)+1)</f>
        <v/>
      </c>
      <c r="C182" s="28"/>
      <c r="D182" s="29"/>
      <c r="E182" s="28"/>
      <c r="F182" s="28"/>
      <c r="G182" s="30"/>
      <c r="H182" s="23" t="str">
        <f aca="false">IF(E182="","",IFERROR(INDEX(Lists!$C$2:$C$86,MATCH(E182,Lists!$A$2:$A$86,0)),"?"))</f>
        <v/>
      </c>
      <c r="I182" s="24" t="str">
        <f aca="false">IF(OR(C182="",E182=""),"",IF(H182="Yes",IFERROR(INDEX(Employees!$E$4:$E$43,MATCH(C182,Employees!$B$4:$B$43,0)),0),0))</f>
        <v/>
      </c>
      <c r="J182" s="25" t="str">
        <f aca="false">IF(G182="","",IF(H182="Yes",G182*I182,0))</f>
        <v/>
      </c>
      <c r="K182" s="25" t="str">
        <f aca="false">IF(OR(C182="",G182=""),"",G182*IFERROR(INDEX(Employees!$F$4:$F$43,MATCH(C182,Employees!$B$4:$B$43,0)),0))</f>
        <v/>
      </c>
      <c r="L182" s="28"/>
    </row>
    <row r="183" customFormat="false" ht="15" hidden="false" customHeight="false" outlineLevel="0" collapsed="false">
      <c r="A183" s="26"/>
      <c r="B183" s="27" t="str">
        <f aca="false">IF(A183="","",A183+7-WEEKDAY(A183,1)+1)</f>
        <v/>
      </c>
      <c r="C183" s="28"/>
      <c r="D183" s="29"/>
      <c r="E183" s="28"/>
      <c r="F183" s="28"/>
      <c r="G183" s="30"/>
      <c r="H183" s="31" t="str">
        <f aca="false">IF(E183="","",IFERROR(INDEX(Lists!$C$2:$C$86,MATCH(E183,Lists!$A$2:$A$86,0)),"?"))</f>
        <v/>
      </c>
      <c r="I183" s="32" t="str">
        <f aca="false">IF(OR(C183="",E183=""),"",IF(H183="Yes",IFERROR(INDEX(Employees!$E$4:$E$43,MATCH(C183,Employees!$B$4:$B$43,0)),0),0))</f>
        <v/>
      </c>
      <c r="J183" s="33" t="str">
        <f aca="false">IF(G183="","",IF(H183="Yes",G183*I183,0))</f>
        <v/>
      </c>
      <c r="K183" s="33" t="str">
        <f aca="false">IF(OR(C183="",G183=""),"",G183*IFERROR(INDEX(Employees!$F$4:$F$43,MATCH(C183,Employees!$B$4:$B$43,0)),0))</f>
        <v/>
      </c>
      <c r="L183" s="28"/>
    </row>
    <row r="184" customFormat="false" ht="15" hidden="false" customHeight="false" outlineLevel="0" collapsed="false">
      <c r="A184" s="26"/>
      <c r="B184" s="19" t="str">
        <f aca="false">IF(A184="","",A184+7-WEEKDAY(A184,1)+1)</f>
        <v/>
      </c>
      <c r="C184" s="28"/>
      <c r="D184" s="29"/>
      <c r="E184" s="28"/>
      <c r="F184" s="28"/>
      <c r="G184" s="30"/>
      <c r="H184" s="23" t="str">
        <f aca="false">IF(E184="","",IFERROR(INDEX(Lists!$C$2:$C$86,MATCH(E184,Lists!$A$2:$A$86,0)),"?"))</f>
        <v/>
      </c>
      <c r="I184" s="24" t="str">
        <f aca="false">IF(OR(C184="",E184=""),"",IF(H184="Yes",IFERROR(INDEX(Employees!$E$4:$E$43,MATCH(C184,Employees!$B$4:$B$43,0)),0),0))</f>
        <v/>
      </c>
      <c r="J184" s="25" t="str">
        <f aca="false">IF(G184="","",IF(H184="Yes",G184*I184,0))</f>
        <v/>
      </c>
      <c r="K184" s="25" t="str">
        <f aca="false">IF(OR(C184="",G184=""),"",G184*IFERROR(INDEX(Employees!$F$4:$F$43,MATCH(C184,Employees!$B$4:$B$43,0)),0))</f>
        <v/>
      </c>
      <c r="L184" s="28"/>
    </row>
    <row r="185" customFormat="false" ht="15" hidden="false" customHeight="false" outlineLevel="0" collapsed="false">
      <c r="A185" s="26"/>
      <c r="B185" s="27" t="str">
        <f aca="false">IF(A185="","",A185+7-WEEKDAY(A185,1)+1)</f>
        <v/>
      </c>
      <c r="C185" s="28"/>
      <c r="D185" s="29"/>
      <c r="E185" s="28"/>
      <c r="F185" s="28"/>
      <c r="G185" s="30"/>
      <c r="H185" s="31" t="str">
        <f aca="false">IF(E185="","",IFERROR(INDEX(Lists!$C$2:$C$86,MATCH(E185,Lists!$A$2:$A$86,0)),"?"))</f>
        <v/>
      </c>
      <c r="I185" s="32" t="str">
        <f aca="false">IF(OR(C185="",E185=""),"",IF(H185="Yes",IFERROR(INDEX(Employees!$E$4:$E$43,MATCH(C185,Employees!$B$4:$B$43,0)),0),0))</f>
        <v/>
      </c>
      <c r="J185" s="33" t="str">
        <f aca="false">IF(G185="","",IF(H185="Yes",G185*I185,0))</f>
        <v/>
      </c>
      <c r="K185" s="33" t="str">
        <f aca="false">IF(OR(C185="",G185=""),"",G185*IFERROR(INDEX(Employees!$F$4:$F$43,MATCH(C185,Employees!$B$4:$B$43,0)),0))</f>
        <v/>
      </c>
      <c r="L185" s="28"/>
    </row>
    <row r="186" customFormat="false" ht="15" hidden="false" customHeight="false" outlineLevel="0" collapsed="false">
      <c r="A186" s="26"/>
      <c r="B186" s="19" t="str">
        <f aca="false">IF(A186="","",A186+7-WEEKDAY(A186,1)+1)</f>
        <v/>
      </c>
      <c r="C186" s="28"/>
      <c r="D186" s="29"/>
      <c r="E186" s="28"/>
      <c r="F186" s="28"/>
      <c r="G186" s="30"/>
      <c r="H186" s="23" t="str">
        <f aca="false">IF(E186="","",IFERROR(INDEX(Lists!$C$2:$C$86,MATCH(E186,Lists!$A$2:$A$86,0)),"?"))</f>
        <v/>
      </c>
      <c r="I186" s="24" t="str">
        <f aca="false">IF(OR(C186="",E186=""),"",IF(H186="Yes",IFERROR(INDEX(Employees!$E$4:$E$43,MATCH(C186,Employees!$B$4:$B$43,0)),0),0))</f>
        <v/>
      </c>
      <c r="J186" s="25" t="str">
        <f aca="false">IF(G186="","",IF(H186="Yes",G186*I186,0))</f>
        <v/>
      </c>
      <c r="K186" s="25" t="str">
        <f aca="false">IF(OR(C186="",G186=""),"",G186*IFERROR(INDEX(Employees!$F$4:$F$43,MATCH(C186,Employees!$B$4:$B$43,0)),0))</f>
        <v/>
      </c>
      <c r="L186" s="28"/>
    </row>
    <row r="187" customFormat="false" ht="15" hidden="false" customHeight="false" outlineLevel="0" collapsed="false">
      <c r="A187" s="26"/>
      <c r="B187" s="27" t="str">
        <f aca="false">IF(A187="","",A187+7-WEEKDAY(A187,1)+1)</f>
        <v/>
      </c>
      <c r="C187" s="28"/>
      <c r="D187" s="29"/>
      <c r="E187" s="28"/>
      <c r="F187" s="28"/>
      <c r="G187" s="30"/>
      <c r="H187" s="31" t="str">
        <f aca="false">IF(E187="","",IFERROR(INDEX(Lists!$C$2:$C$86,MATCH(E187,Lists!$A$2:$A$86,0)),"?"))</f>
        <v/>
      </c>
      <c r="I187" s="32" t="str">
        <f aca="false">IF(OR(C187="",E187=""),"",IF(H187="Yes",IFERROR(INDEX(Employees!$E$4:$E$43,MATCH(C187,Employees!$B$4:$B$43,0)),0),0))</f>
        <v/>
      </c>
      <c r="J187" s="33" t="str">
        <f aca="false">IF(G187="","",IF(H187="Yes",G187*I187,0))</f>
        <v/>
      </c>
      <c r="K187" s="33" t="str">
        <f aca="false">IF(OR(C187="",G187=""),"",G187*IFERROR(INDEX(Employees!$F$4:$F$43,MATCH(C187,Employees!$B$4:$B$43,0)),0))</f>
        <v/>
      </c>
      <c r="L187" s="28"/>
    </row>
    <row r="188" customFormat="false" ht="15" hidden="false" customHeight="false" outlineLevel="0" collapsed="false">
      <c r="A188" s="26"/>
      <c r="B188" s="19" t="str">
        <f aca="false">IF(A188="","",A188+7-WEEKDAY(A188,1)+1)</f>
        <v/>
      </c>
      <c r="C188" s="28"/>
      <c r="D188" s="29"/>
      <c r="E188" s="28"/>
      <c r="F188" s="28"/>
      <c r="G188" s="30"/>
      <c r="H188" s="23" t="str">
        <f aca="false">IF(E188="","",IFERROR(INDEX(Lists!$C$2:$C$86,MATCH(E188,Lists!$A$2:$A$86,0)),"?"))</f>
        <v/>
      </c>
      <c r="I188" s="24" t="str">
        <f aca="false">IF(OR(C188="",E188=""),"",IF(H188="Yes",IFERROR(INDEX(Employees!$E$4:$E$43,MATCH(C188,Employees!$B$4:$B$43,0)),0),0))</f>
        <v/>
      </c>
      <c r="J188" s="25" t="str">
        <f aca="false">IF(G188="","",IF(H188="Yes",G188*I188,0))</f>
        <v/>
      </c>
      <c r="K188" s="25" t="str">
        <f aca="false">IF(OR(C188="",G188=""),"",G188*IFERROR(INDEX(Employees!$F$4:$F$43,MATCH(C188,Employees!$B$4:$B$43,0)),0))</f>
        <v/>
      </c>
      <c r="L188" s="28"/>
    </row>
    <row r="189" customFormat="false" ht="15" hidden="false" customHeight="false" outlineLevel="0" collapsed="false">
      <c r="A189" s="26"/>
      <c r="B189" s="27" t="str">
        <f aca="false">IF(A189="","",A189+7-WEEKDAY(A189,1)+1)</f>
        <v/>
      </c>
      <c r="C189" s="28"/>
      <c r="D189" s="29"/>
      <c r="E189" s="28"/>
      <c r="F189" s="28"/>
      <c r="G189" s="30"/>
      <c r="H189" s="31" t="str">
        <f aca="false">IF(E189="","",IFERROR(INDEX(Lists!$C$2:$C$86,MATCH(E189,Lists!$A$2:$A$86,0)),"?"))</f>
        <v/>
      </c>
      <c r="I189" s="32" t="str">
        <f aca="false">IF(OR(C189="",E189=""),"",IF(H189="Yes",IFERROR(INDEX(Employees!$E$4:$E$43,MATCH(C189,Employees!$B$4:$B$43,0)),0),0))</f>
        <v/>
      </c>
      <c r="J189" s="33" t="str">
        <f aca="false">IF(G189="","",IF(H189="Yes",G189*I189,0))</f>
        <v/>
      </c>
      <c r="K189" s="33" t="str">
        <f aca="false">IF(OR(C189="",G189=""),"",G189*IFERROR(INDEX(Employees!$F$4:$F$43,MATCH(C189,Employees!$B$4:$B$43,0)),0))</f>
        <v/>
      </c>
      <c r="L189" s="28"/>
    </row>
    <row r="190" customFormat="false" ht="15" hidden="false" customHeight="false" outlineLevel="0" collapsed="false">
      <c r="A190" s="26"/>
      <c r="B190" s="19" t="str">
        <f aca="false">IF(A190="","",A190+7-WEEKDAY(A190,1)+1)</f>
        <v/>
      </c>
      <c r="C190" s="28"/>
      <c r="D190" s="29"/>
      <c r="E190" s="28"/>
      <c r="F190" s="28"/>
      <c r="G190" s="30"/>
      <c r="H190" s="23" t="str">
        <f aca="false">IF(E190="","",IFERROR(INDEX(Lists!$C$2:$C$86,MATCH(E190,Lists!$A$2:$A$86,0)),"?"))</f>
        <v/>
      </c>
      <c r="I190" s="24" t="str">
        <f aca="false">IF(OR(C190="",E190=""),"",IF(H190="Yes",IFERROR(INDEX(Employees!$E$4:$E$43,MATCH(C190,Employees!$B$4:$B$43,0)),0),0))</f>
        <v/>
      </c>
      <c r="J190" s="25" t="str">
        <f aca="false">IF(G190="","",IF(H190="Yes",G190*I190,0))</f>
        <v/>
      </c>
      <c r="K190" s="25" t="str">
        <f aca="false">IF(OR(C190="",G190=""),"",G190*IFERROR(INDEX(Employees!$F$4:$F$43,MATCH(C190,Employees!$B$4:$B$43,0)),0))</f>
        <v/>
      </c>
      <c r="L190" s="28"/>
    </row>
    <row r="191" customFormat="false" ht="15" hidden="false" customHeight="false" outlineLevel="0" collapsed="false">
      <c r="A191" s="26"/>
      <c r="B191" s="27" t="str">
        <f aca="false">IF(A191="","",A191+7-WEEKDAY(A191,1)+1)</f>
        <v/>
      </c>
      <c r="C191" s="28"/>
      <c r="D191" s="29"/>
      <c r="E191" s="28"/>
      <c r="F191" s="28"/>
      <c r="G191" s="30"/>
      <c r="H191" s="31" t="str">
        <f aca="false">IF(E191="","",IFERROR(INDEX(Lists!$C$2:$C$86,MATCH(E191,Lists!$A$2:$A$86,0)),"?"))</f>
        <v/>
      </c>
      <c r="I191" s="32" t="str">
        <f aca="false">IF(OR(C191="",E191=""),"",IF(H191="Yes",IFERROR(INDEX(Employees!$E$4:$E$43,MATCH(C191,Employees!$B$4:$B$43,0)),0),0))</f>
        <v/>
      </c>
      <c r="J191" s="33" t="str">
        <f aca="false">IF(G191="","",IF(H191="Yes",G191*I191,0))</f>
        <v/>
      </c>
      <c r="K191" s="33" t="str">
        <f aca="false">IF(OR(C191="",G191=""),"",G191*IFERROR(INDEX(Employees!$F$4:$F$43,MATCH(C191,Employees!$B$4:$B$43,0)),0))</f>
        <v/>
      </c>
      <c r="L191" s="28"/>
    </row>
    <row r="192" customFormat="false" ht="15" hidden="false" customHeight="false" outlineLevel="0" collapsed="false">
      <c r="A192" s="26"/>
      <c r="B192" s="19" t="str">
        <f aca="false">IF(A192="","",A192+7-WEEKDAY(A192,1)+1)</f>
        <v/>
      </c>
      <c r="C192" s="28"/>
      <c r="D192" s="29"/>
      <c r="E192" s="28"/>
      <c r="F192" s="28"/>
      <c r="G192" s="30"/>
      <c r="H192" s="23" t="str">
        <f aca="false">IF(E192="","",IFERROR(INDEX(Lists!$C$2:$C$86,MATCH(E192,Lists!$A$2:$A$86,0)),"?"))</f>
        <v/>
      </c>
      <c r="I192" s="24" t="str">
        <f aca="false">IF(OR(C192="",E192=""),"",IF(H192="Yes",IFERROR(INDEX(Employees!$E$4:$E$43,MATCH(C192,Employees!$B$4:$B$43,0)),0),0))</f>
        <v/>
      </c>
      <c r="J192" s="25" t="str">
        <f aca="false">IF(G192="","",IF(H192="Yes",G192*I192,0))</f>
        <v/>
      </c>
      <c r="K192" s="25" t="str">
        <f aca="false">IF(OR(C192="",G192=""),"",G192*IFERROR(INDEX(Employees!$F$4:$F$43,MATCH(C192,Employees!$B$4:$B$43,0)),0))</f>
        <v/>
      </c>
      <c r="L192" s="28"/>
    </row>
    <row r="193" customFormat="false" ht="15" hidden="false" customHeight="false" outlineLevel="0" collapsed="false">
      <c r="A193" s="26"/>
      <c r="B193" s="27" t="str">
        <f aca="false">IF(A193="","",A193+7-WEEKDAY(A193,1)+1)</f>
        <v/>
      </c>
      <c r="C193" s="28"/>
      <c r="D193" s="29"/>
      <c r="E193" s="28"/>
      <c r="F193" s="28"/>
      <c r="G193" s="30"/>
      <c r="H193" s="31" t="str">
        <f aca="false">IF(E193="","",IFERROR(INDEX(Lists!$C$2:$C$86,MATCH(E193,Lists!$A$2:$A$86,0)),"?"))</f>
        <v/>
      </c>
      <c r="I193" s="32" t="str">
        <f aca="false">IF(OR(C193="",E193=""),"",IF(H193="Yes",IFERROR(INDEX(Employees!$E$4:$E$43,MATCH(C193,Employees!$B$4:$B$43,0)),0),0))</f>
        <v/>
      </c>
      <c r="J193" s="33" t="str">
        <f aca="false">IF(G193="","",IF(H193="Yes",G193*I193,0))</f>
        <v/>
      </c>
      <c r="K193" s="33" t="str">
        <f aca="false">IF(OR(C193="",G193=""),"",G193*IFERROR(INDEX(Employees!$F$4:$F$43,MATCH(C193,Employees!$B$4:$B$43,0)),0))</f>
        <v/>
      </c>
      <c r="L193" s="28"/>
    </row>
    <row r="194" customFormat="false" ht="15" hidden="false" customHeight="false" outlineLevel="0" collapsed="false">
      <c r="A194" s="26"/>
      <c r="B194" s="19" t="str">
        <f aca="false">IF(A194="","",A194+7-WEEKDAY(A194,1)+1)</f>
        <v/>
      </c>
      <c r="C194" s="28"/>
      <c r="D194" s="29"/>
      <c r="E194" s="28"/>
      <c r="F194" s="28"/>
      <c r="G194" s="30"/>
      <c r="H194" s="23" t="str">
        <f aca="false">IF(E194="","",IFERROR(INDEX(Lists!$C$2:$C$86,MATCH(E194,Lists!$A$2:$A$86,0)),"?"))</f>
        <v/>
      </c>
      <c r="I194" s="24" t="str">
        <f aca="false">IF(OR(C194="",E194=""),"",IF(H194="Yes",IFERROR(INDEX(Employees!$E$4:$E$43,MATCH(C194,Employees!$B$4:$B$43,0)),0),0))</f>
        <v/>
      </c>
      <c r="J194" s="25" t="str">
        <f aca="false">IF(G194="","",IF(H194="Yes",G194*I194,0))</f>
        <v/>
      </c>
      <c r="K194" s="25" t="str">
        <f aca="false">IF(OR(C194="",G194=""),"",G194*IFERROR(INDEX(Employees!$F$4:$F$43,MATCH(C194,Employees!$B$4:$B$43,0)),0))</f>
        <v/>
      </c>
      <c r="L194" s="28"/>
    </row>
    <row r="195" customFormat="false" ht="15" hidden="false" customHeight="false" outlineLevel="0" collapsed="false">
      <c r="A195" s="26"/>
      <c r="B195" s="27" t="str">
        <f aca="false">IF(A195="","",A195+7-WEEKDAY(A195,1)+1)</f>
        <v/>
      </c>
      <c r="C195" s="28"/>
      <c r="D195" s="29"/>
      <c r="E195" s="28"/>
      <c r="F195" s="28"/>
      <c r="G195" s="30"/>
      <c r="H195" s="31" t="str">
        <f aca="false">IF(E195="","",IFERROR(INDEX(Lists!$C$2:$C$86,MATCH(E195,Lists!$A$2:$A$86,0)),"?"))</f>
        <v/>
      </c>
      <c r="I195" s="32" t="str">
        <f aca="false">IF(OR(C195="",E195=""),"",IF(H195="Yes",IFERROR(INDEX(Employees!$E$4:$E$43,MATCH(C195,Employees!$B$4:$B$43,0)),0),0))</f>
        <v/>
      </c>
      <c r="J195" s="33" t="str">
        <f aca="false">IF(G195="","",IF(H195="Yes",G195*I195,0))</f>
        <v/>
      </c>
      <c r="K195" s="33" t="str">
        <f aca="false">IF(OR(C195="",G195=""),"",G195*IFERROR(INDEX(Employees!$F$4:$F$43,MATCH(C195,Employees!$B$4:$B$43,0)),0))</f>
        <v/>
      </c>
      <c r="L195" s="28"/>
    </row>
    <row r="196" customFormat="false" ht="15" hidden="false" customHeight="false" outlineLevel="0" collapsed="false">
      <c r="A196" s="26"/>
      <c r="B196" s="19" t="str">
        <f aca="false">IF(A196="","",A196+7-WEEKDAY(A196,1)+1)</f>
        <v/>
      </c>
      <c r="C196" s="28"/>
      <c r="D196" s="29"/>
      <c r="E196" s="28"/>
      <c r="F196" s="28"/>
      <c r="G196" s="30"/>
      <c r="H196" s="23" t="str">
        <f aca="false">IF(E196="","",IFERROR(INDEX(Lists!$C$2:$C$86,MATCH(E196,Lists!$A$2:$A$86,0)),"?"))</f>
        <v/>
      </c>
      <c r="I196" s="24" t="str">
        <f aca="false">IF(OR(C196="",E196=""),"",IF(H196="Yes",IFERROR(INDEX(Employees!$E$4:$E$43,MATCH(C196,Employees!$B$4:$B$43,0)),0),0))</f>
        <v/>
      </c>
      <c r="J196" s="25" t="str">
        <f aca="false">IF(G196="","",IF(H196="Yes",G196*I196,0))</f>
        <v/>
      </c>
      <c r="K196" s="25" t="str">
        <f aca="false">IF(OR(C196="",G196=""),"",G196*IFERROR(INDEX(Employees!$F$4:$F$43,MATCH(C196,Employees!$B$4:$B$43,0)),0))</f>
        <v/>
      </c>
      <c r="L196" s="28"/>
    </row>
    <row r="197" customFormat="false" ht="15" hidden="false" customHeight="false" outlineLevel="0" collapsed="false">
      <c r="A197" s="26"/>
      <c r="B197" s="27" t="str">
        <f aca="false">IF(A197="","",A197+7-WEEKDAY(A197,1)+1)</f>
        <v/>
      </c>
      <c r="C197" s="28"/>
      <c r="D197" s="29"/>
      <c r="E197" s="28"/>
      <c r="F197" s="28"/>
      <c r="G197" s="30"/>
      <c r="H197" s="31" t="str">
        <f aca="false">IF(E197="","",IFERROR(INDEX(Lists!$C$2:$C$86,MATCH(E197,Lists!$A$2:$A$86,0)),"?"))</f>
        <v/>
      </c>
      <c r="I197" s="32" t="str">
        <f aca="false">IF(OR(C197="",E197=""),"",IF(H197="Yes",IFERROR(INDEX(Employees!$E$4:$E$43,MATCH(C197,Employees!$B$4:$B$43,0)),0),0))</f>
        <v/>
      </c>
      <c r="J197" s="33" t="str">
        <f aca="false">IF(G197="","",IF(H197="Yes",G197*I197,0))</f>
        <v/>
      </c>
      <c r="K197" s="33" t="str">
        <f aca="false">IF(OR(C197="",G197=""),"",G197*IFERROR(INDEX(Employees!$F$4:$F$43,MATCH(C197,Employees!$B$4:$B$43,0)),0))</f>
        <v/>
      </c>
      <c r="L197" s="28"/>
    </row>
    <row r="198" customFormat="false" ht="15" hidden="false" customHeight="false" outlineLevel="0" collapsed="false">
      <c r="A198" s="26"/>
      <c r="B198" s="19" t="str">
        <f aca="false">IF(A198="","",A198+7-WEEKDAY(A198,1)+1)</f>
        <v/>
      </c>
      <c r="C198" s="28"/>
      <c r="D198" s="29"/>
      <c r="E198" s="28"/>
      <c r="F198" s="28"/>
      <c r="G198" s="30"/>
      <c r="H198" s="23" t="str">
        <f aca="false">IF(E198="","",IFERROR(INDEX(Lists!$C$2:$C$86,MATCH(E198,Lists!$A$2:$A$86,0)),"?"))</f>
        <v/>
      </c>
      <c r="I198" s="24" t="str">
        <f aca="false">IF(OR(C198="",E198=""),"",IF(H198="Yes",IFERROR(INDEX(Employees!$E$4:$E$43,MATCH(C198,Employees!$B$4:$B$43,0)),0),0))</f>
        <v/>
      </c>
      <c r="J198" s="25" t="str">
        <f aca="false">IF(G198="","",IF(H198="Yes",G198*I198,0))</f>
        <v/>
      </c>
      <c r="K198" s="25" t="str">
        <f aca="false">IF(OR(C198="",G198=""),"",G198*IFERROR(INDEX(Employees!$F$4:$F$43,MATCH(C198,Employees!$B$4:$B$43,0)),0))</f>
        <v/>
      </c>
      <c r="L198" s="28"/>
    </row>
    <row r="199" customFormat="false" ht="15" hidden="false" customHeight="false" outlineLevel="0" collapsed="false">
      <c r="A199" s="26"/>
      <c r="B199" s="27" t="str">
        <f aca="false">IF(A199="","",A199+7-WEEKDAY(A199,1)+1)</f>
        <v/>
      </c>
      <c r="C199" s="28"/>
      <c r="D199" s="29"/>
      <c r="E199" s="28"/>
      <c r="F199" s="28"/>
      <c r="G199" s="30"/>
      <c r="H199" s="31" t="str">
        <f aca="false">IF(E199="","",IFERROR(INDEX(Lists!$C$2:$C$86,MATCH(E199,Lists!$A$2:$A$86,0)),"?"))</f>
        <v/>
      </c>
      <c r="I199" s="32" t="str">
        <f aca="false">IF(OR(C199="",E199=""),"",IF(H199="Yes",IFERROR(INDEX(Employees!$E$4:$E$43,MATCH(C199,Employees!$B$4:$B$43,0)),0),0))</f>
        <v/>
      </c>
      <c r="J199" s="33" t="str">
        <f aca="false">IF(G199="","",IF(H199="Yes",G199*I199,0))</f>
        <v/>
      </c>
      <c r="K199" s="33" t="str">
        <f aca="false">IF(OR(C199="",G199=""),"",G199*IFERROR(INDEX(Employees!$F$4:$F$43,MATCH(C199,Employees!$B$4:$B$43,0)),0))</f>
        <v/>
      </c>
      <c r="L199" s="28"/>
    </row>
    <row r="200" customFormat="false" ht="15" hidden="false" customHeight="false" outlineLevel="0" collapsed="false">
      <c r="A200" s="26"/>
      <c r="B200" s="19" t="str">
        <f aca="false">IF(A200="","",A200+7-WEEKDAY(A200,1)+1)</f>
        <v/>
      </c>
      <c r="C200" s="28"/>
      <c r="D200" s="29"/>
      <c r="E200" s="28"/>
      <c r="F200" s="28"/>
      <c r="G200" s="30"/>
      <c r="H200" s="23" t="str">
        <f aca="false">IF(E200="","",IFERROR(INDEX(Lists!$C$2:$C$86,MATCH(E200,Lists!$A$2:$A$86,0)),"?"))</f>
        <v/>
      </c>
      <c r="I200" s="24" t="str">
        <f aca="false">IF(OR(C200="",E200=""),"",IF(H200="Yes",IFERROR(INDEX(Employees!$E$4:$E$43,MATCH(C200,Employees!$B$4:$B$43,0)),0),0))</f>
        <v/>
      </c>
      <c r="J200" s="25" t="str">
        <f aca="false">IF(G200="","",IF(H200="Yes",G200*I200,0))</f>
        <v/>
      </c>
      <c r="K200" s="25" t="str">
        <f aca="false">IF(OR(C200="",G200=""),"",G200*IFERROR(INDEX(Employees!$F$4:$F$43,MATCH(C200,Employees!$B$4:$B$43,0)),0))</f>
        <v/>
      </c>
      <c r="L200" s="28"/>
    </row>
    <row r="201" customFormat="false" ht="15" hidden="false" customHeight="false" outlineLevel="0" collapsed="false">
      <c r="A201" s="26"/>
      <c r="B201" s="27" t="str">
        <f aca="false">IF(A201="","",A201+7-WEEKDAY(A201,1)+1)</f>
        <v/>
      </c>
      <c r="C201" s="28"/>
      <c r="D201" s="29"/>
      <c r="E201" s="28"/>
      <c r="F201" s="28"/>
      <c r="G201" s="30"/>
      <c r="H201" s="31" t="str">
        <f aca="false">IF(E201="","",IFERROR(INDEX(Lists!$C$2:$C$86,MATCH(E201,Lists!$A$2:$A$86,0)),"?"))</f>
        <v/>
      </c>
      <c r="I201" s="32" t="str">
        <f aca="false">IF(OR(C201="",E201=""),"",IF(H201="Yes",IFERROR(INDEX(Employees!$E$4:$E$43,MATCH(C201,Employees!$B$4:$B$43,0)),0),0))</f>
        <v/>
      </c>
      <c r="J201" s="33" t="str">
        <f aca="false">IF(G201="","",IF(H201="Yes",G201*I201,0))</f>
        <v/>
      </c>
      <c r="K201" s="33" t="str">
        <f aca="false">IF(OR(C201="",G201=""),"",G201*IFERROR(INDEX(Employees!$F$4:$F$43,MATCH(C201,Employees!$B$4:$B$43,0)),0))</f>
        <v/>
      </c>
      <c r="L201" s="28"/>
    </row>
    <row r="202" customFormat="false" ht="15" hidden="false" customHeight="false" outlineLevel="0" collapsed="false">
      <c r="A202" s="26"/>
      <c r="B202" s="19" t="str">
        <f aca="false">IF(A202="","",A202+7-WEEKDAY(A202,1)+1)</f>
        <v/>
      </c>
      <c r="C202" s="28"/>
      <c r="D202" s="29"/>
      <c r="E202" s="28"/>
      <c r="F202" s="28"/>
      <c r="G202" s="30"/>
      <c r="H202" s="23" t="str">
        <f aca="false">IF(E202="","",IFERROR(INDEX(Lists!$C$2:$C$86,MATCH(E202,Lists!$A$2:$A$86,0)),"?"))</f>
        <v/>
      </c>
      <c r="I202" s="24" t="str">
        <f aca="false">IF(OR(C202="",E202=""),"",IF(H202="Yes",IFERROR(INDEX(Employees!$E$4:$E$43,MATCH(C202,Employees!$B$4:$B$43,0)),0),0))</f>
        <v/>
      </c>
      <c r="J202" s="25" t="str">
        <f aca="false">IF(G202="","",IF(H202="Yes",G202*I202,0))</f>
        <v/>
      </c>
      <c r="K202" s="25" t="str">
        <f aca="false">IF(OR(C202="",G202=""),"",G202*IFERROR(INDEX(Employees!$F$4:$F$43,MATCH(C202,Employees!$B$4:$B$43,0)),0))</f>
        <v/>
      </c>
      <c r="L202" s="28"/>
    </row>
    <row r="203" customFormat="false" ht="15" hidden="false" customHeight="false" outlineLevel="0" collapsed="false">
      <c r="A203" s="26"/>
      <c r="B203" s="27" t="str">
        <f aca="false">IF(A203="","",A203+7-WEEKDAY(A203,1)+1)</f>
        <v/>
      </c>
      <c r="C203" s="28"/>
      <c r="D203" s="29"/>
      <c r="E203" s="28"/>
      <c r="F203" s="28"/>
      <c r="G203" s="30"/>
      <c r="H203" s="31" t="str">
        <f aca="false">IF(E203="","",IFERROR(INDEX(Lists!$C$2:$C$86,MATCH(E203,Lists!$A$2:$A$86,0)),"?"))</f>
        <v/>
      </c>
      <c r="I203" s="32" t="str">
        <f aca="false">IF(OR(C203="",E203=""),"",IF(H203="Yes",IFERROR(INDEX(Employees!$E$4:$E$43,MATCH(C203,Employees!$B$4:$B$43,0)),0),0))</f>
        <v/>
      </c>
      <c r="J203" s="33" t="str">
        <f aca="false">IF(G203="","",IF(H203="Yes",G203*I203,0))</f>
        <v/>
      </c>
      <c r="K203" s="33" t="str">
        <f aca="false">IF(OR(C203="",G203=""),"",G203*IFERROR(INDEX(Employees!$F$4:$F$43,MATCH(C203,Employees!$B$4:$B$43,0)),0))</f>
        <v/>
      </c>
      <c r="L203" s="28"/>
    </row>
    <row r="204" customFormat="false" ht="15" hidden="false" customHeight="false" outlineLevel="0" collapsed="false">
      <c r="A204" s="26"/>
      <c r="B204" s="19" t="str">
        <f aca="false">IF(A204="","",A204+7-WEEKDAY(A204,1)+1)</f>
        <v/>
      </c>
      <c r="C204" s="28"/>
      <c r="D204" s="29"/>
      <c r="E204" s="28"/>
      <c r="F204" s="28"/>
      <c r="G204" s="30"/>
      <c r="H204" s="23" t="str">
        <f aca="false">IF(E204="","",IFERROR(INDEX(Lists!$C$2:$C$86,MATCH(E204,Lists!$A$2:$A$86,0)),"?"))</f>
        <v/>
      </c>
      <c r="I204" s="24" t="str">
        <f aca="false">IF(OR(C204="",E204=""),"",IF(H204="Yes",IFERROR(INDEX(Employees!$E$4:$E$43,MATCH(C204,Employees!$B$4:$B$43,0)),0),0))</f>
        <v/>
      </c>
      <c r="J204" s="25" t="str">
        <f aca="false">IF(G204="","",IF(H204="Yes",G204*I204,0))</f>
        <v/>
      </c>
      <c r="K204" s="25" t="str">
        <f aca="false">IF(OR(C204="",G204=""),"",G204*IFERROR(INDEX(Employees!$F$4:$F$43,MATCH(C204,Employees!$B$4:$B$43,0)),0))</f>
        <v/>
      </c>
      <c r="L204" s="28"/>
    </row>
    <row r="205" customFormat="false" ht="15" hidden="false" customHeight="false" outlineLevel="0" collapsed="false">
      <c r="A205" s="26"/>
      <c r="B205" s="27" t="str">
        <f aca="false">IF(A205="","",A205+7-WEEKDAY(A205,1)+1)</f>
        <v/>
      </c>
      <c r="C205" s="28"/>
      <c r="D205" s="29"/>
      <c r="E205" s="28"/>
      <c r="F205" s="28"/>
      <c r="G205" s="30"/>
      <c r="H205" s="31" t="str">
        <f aca="false">IF(E205="","",IFERROR(INDEX(Lists!$C$2:$C$86,MATCH(E205,Lists!$A$2:$A$86,0)),"?"))</f>
        <v/>
      </c>
      <c r="I205" s="32" t="str">
        <f aca="false">IF(OR(C205="",E205=""),"",IF(H205="Yes",IFERROR(INDEX(Employees!$E$4:$E$43,MATCH(C205,Employees!$B$4:$B$43,0)),0),0))</f>
        <v/>
      </c>
      <c r="J205" s="33" t="str">
        <f aca="false">IF(G205="","",IF(H205="Yes",G205*I205,0))</f>
        <v/>
      </c>
      <c r="K205" s="33" t="str">
        <f aca="false">IF(OR(C205="",G205=""),"",G205*IFERROR(INDEX(Employees!$F$4:$F$43,MATCH(C205,Employees!$B$4:$B$43,0)),0))</f>
        <v/>
      </c>
      <c r="L205" s="28"/>
    </row>
    <row r="206" customFormat="false" ht="15" hidden="false" customHeight="false" outlineLevel="0" collapsed="false">
      <c r="A206" s="26"/>
      <c r="B206" s="19" t="str">
        <f aca="false">IF(A206="","",A206+7-WEEKDAY(A206,1)+1)</f>
        <v/>
      </c>
      <c r="C206" s="28"/>
      <c r="D206" s="29"/>
      <c r="E206" s="28"/>
      <c r="F206" s="28"/>
      <c r="G206" s="30"/>
      <c r="H206" s="23" t="str">
        <f aca="false">IF(E206="","",IFERROR(INDEX(Lists!$C$2:$C$86,MATCH(E206,Lists!$A$2:$A$86,0)),"?"))</f>
        <v/>
      </c>
      <c r="I206" s="24" t="str">
        <f aca="false">IF(OR(C206="",E206=""),"",IF(H206="Yes",IFERROR(INDEX(Employees!$E$4:$E$43,MATCH(C206,Employees!$B$4:$B$43,0)),0),0))</f>
        <v/>
      </c>
      <c r="J206" s="25" t="str">
        <f aca="false">IF(G206="","",IF(H206="Yes",G206*I206,0))</f>
        <v/>
      </c>
      <c r="K206" s="25" t="str">
        <f aca="false">IF(OR(C206="",G206=""),"",G206*IFERROR(INDEX(Employees!$F$4:$F$43,MATCH(C206,Employees!$B$4:$B$43,0)),0))</f>
        <v/>
      </c>
      <c r="L206" s="28"/>
    </row>
    <row r="207" customFormat="false" ht="15" hidden="false" customHeight="false" outlineLevel="0" collapsed="false">
      <c r="A207" s="26"/>
      <c r="B207" s="27" t="str">
        <f aca="false">IF(A207="","",A207+7-WEEKDAY(A207,1)+1)</f>
        <v/>
      </c>
      <c r="C207" s="28"/>
      <c r="D207" s="29"/>
      <c r="E207" s="28"/>
      <c r="F207" s="28"/>
      <c r="G207" s="30"/>
      <c r="H207" s="31" t="str">
        <f aca="false">IF(E207="","",IFERROR(INDEX(Lists!$C$2:$C$86,MATCH(E207,Lists!$A$2:$A$86,0)),"?"))</f>
        <v/>
      </c>
      <c r="I207" s="32" t="str">
        <f aca="false">IF(OR(C207="",E207=""),"",IF(H207="Yes",IFERROR(INDEX(Employees!$E$4:$E$43,MATCH(C207,Employees!$B$4:$B$43,0)),0),0))</f>
        <v/>
      </c>
      <c r="J207" s="33" t="str">
        <f aca="false">IF(G207="","",IF(H207="Yes",G207*I207,0))</f>
        <v/>
      </c>
      <c r="K207" s="33" t="str">
        <f aca="false">IF(OR(C207="",G207=""),"",G207*IFERROR(INDEX(Employees!$F$4:$F$43,MATCH(C207,Employees!$B$4:$B$43,0)),0))</f>
        <v/>
      </c>
      <c r="L207" s="28"/>
    </row>
    <row r="208" customFormat="false" ht="15" hidden="false" customHeight="false" outlineLevel="0" collapsed="false">
      <c r="A208" s="26"/>
      <c r="B208" s="19" t="str">
        <f aca="false">IF(A208="","",A208+7-WEEKDAY(A208,1)+1)</f>
        <v/>
      </c>
      <c r="C208" s="28"/>
      <c r="D208" s="29"/>
      <c r="E208" s="28"/>
      <c r="F208" s="28"/>
      <c r="G208" s="30"/>
      <c r="H208" s="23" t="str">
        <f aca="false">IF(E208="","",IFERROR(INDEX(Lists!$C$2:$C$86,MATCH(E208,Lists!$A$2:$A$86,0)),"?"))</f>
        <v/>
      </c>
      <c r="I208" s="24" t="str">
        <f aca="false">IF(OR(C208="",E208=""),"",IF(H208="Yes",IFERROR(INDEX(Employees!$E$4:$E$43,MATCH(C208,Employees!$B$4:$B$43,0)),0),0))</f>
        <v/>
      </c>
      <c r="J208" s="25" t="str">
        <f aca="false">IF(G208="","",IF(H208="Yes",G208*I208,0))</f>
        <v/>
      </c>
      <c r="K208" s="25" t="str">
        <f aca="false">IF(OR(C208="",G208=""),"",G208*IFERROR(INDEX(Employees!$F$4:$F$43,MATCH(C208,Employees!$B$4:$B$43,0)),0))</f>
        <v/>
      </c>
      <c r="L208" s="28"/>
    </row>
    <row r="209" customFormat="false" ht="15" hidden="false" customHeight="false" outlineLevel="0" collapsed="false">
      <c r="A209" s="26"/>
      <c r="B209" s="27" t="str">
        <f aca="false">IF(A209="","",A209+7-WEEKDAY(A209,1)+1)</f>
        <v/>
      </c>
      <c r="C209" s="28"/>
      <c r="D209" s="29"/>
      <c r="E209" s="28"/>
      <c r="F209" s="28"/>
      <c r="G209" s="30"/>
      <c r="H209" s="31" t="str">
        <f aca="false">IF(E209="","",IFERROR(INDEX(Lists!$C$2:$C$86,MATCH(E209,Lists!$A$2:$A$86,0)),"?"))</f>
        <v/>
      </c>
      <c r="I209" s="32" t="str">
        <f aca="false">IF(OR(C209="",E209=""),"",IF(H209="Yes",IFERROR(INDEX(Employees!$E$4:$E$43,MATCH(C209,Employees!$B$4:$B$43,0)),0),0))</f>
        <v/>
      </c>
      <c r="J209" s="33" t="str">
        <f aca="false">IF(G209="","",IF(H209="Yes",G209*I209,0))</f>
        <v/>
      </c>
      <c r="K209" s="33" t="str">
        <f aca="false">IF(OR(C209="",G209=""),"",G209*IFERROR(INDEX(Employees!$F$4:$F$43,MATCH(C209,Employees!$B$4:$B$43,0)),0))</f>
        <v/>
      </c>
      <c r="L209" s="28"/>
    </row>
    <row r="210" customFormat="false" ht="15" hidden="false" customHeight="false" outlineLevel="0" collapsed="false">
      <c r="A210" s="26"/>
      <c r="B210" s="19" t="str">
        <f aca="false">IF(A210="","",A210+7-WEEKDAY(A210,1)+1)</f>
        <v/>
      </c>
      <c r="C210" s="28"/>
      <c r="D210" s="29"/>
      <c r="E210" s="28"/>
      <c r="F210" s="28"/>
      <c r="G210" s="30"/>
      <c r="H210" s="23" t="str">
        <f aca="false">IF(E210="","",IFERROR(INDEX(Lists!$C$2:$C$86,MATCH(E210,Lists!$A$2:$A$86,0)),"?"))</f>
        <v/>
      </c>
      <c r="I210" s="24" t="str">
        <f aca="false">IF(OR(C210="",E210=""),"",IF(H210="Yes",IFERROR(INDEX(Employees!$E$4:$E$43,MATCH(C210,Employees!$B$4:$B$43,0)),0),0))</f>
        <v/>
      </c>
      <c r="J210" s="25" t="str">
        <f aca="false">IF(G210="","",IF(H210="Yes",G210*I210,0))</f>
        <v/>
      </c>
      <c r="K210" s="25" t="str">
        <f aca="false">IF(OR(C210="",G210=""),"",G210*IFERROR(INDEX(Employees!$F$4:$F$43,MATCH(C210,Employees!$B$4:$B$43,0)),0))</f>
        <v/>
      </c>
      <c r="L210" s="28"/>
    </row>
    <row r="211" customFormat="false" ht="15" hidden="false" customHeight="false" outlineLevel="0" collapsed="false">
      <c r="A211" s="26"/>
      <c r="B211" s="27" t="str">
        <f aca="false">IF(A211="","",A211+7-WEEKDAY(A211,1)+1)</f>
        <v/>
      </c>
      <c r="C211" s="28"/>
      <c r="D211" s="29"/>
      <c r="E211" s="28"/>
      <c r="F211" s="28"/>
      <c r="G211" s="30"/>
      <c r="H211" s="31" t="str">
        <f aca="false">IF(E211="","",IFERROR(INDEX(Lists!$C$2:$C$86,MATCH(E211,Lists!$A$2:$A$86,0)),"?"))</f>
        <v/>
      </c>
      <c r="I211" s="32" t="str">
        <f aca="false">IF(OR(C211="",E211=""),"",IF(H211="Yes",IFERROR(INDEX(Employees!$E$4:$E$43,MATCH(C211,Employees!$B$4:$B$43,0)),0),0))</f>
        <v/>
      </c>
      <c r="J211" s="33" t="str">
        <f aca="false">IF(G211="","",IF(H211="Yes",G211*I211,0))</f>
        <v/>
      </c>
      <c r="K211" s="33" t="str">
        <f aca="false">IF(OR(C211="",G211=""),"",G211*IFERROR(INDEX(Employees!$F$4:$F$43,MATCH(C211,Employees!$B$4:$B$43,0)),0))</f>
        <v/>
      </c>
      <c r="L211" s="28"/>
    </row>
    <row r="212" customFormat="false" ht="15" hidden="false" customHeight="false" outlineLevel="0" collapsed="false">
      <c r="A212" s="26"/>
      <c r="B212" s="19" t="str">
        <f aca="false">IF(A212="","",A212+7-WEEKDAY(A212,1)+1)</f>
        <v/>
      </c>
      <c r="C212" s="28"/>
      <c r="D212" s="29"/>
      <c r="E212" s="28"/>
      <c r="F212" s="28"/>
      <c r="G212" s="30"/>
      <c r="H212" s="23" t="str">
        <f aca="false">IF(E212="","",IFERROR(INDEX(Lists!$C$2:$C$86,MATCH(E212,Lists!$A$2:$A$86,0)),"?"))</f>
        <v/>
      </c>
      <c r="I212" s="24" t="str">
        <f aca="false">IF(OR(C212="",E212=""),"",IF(H212="Yes",IFERROR(INDEX(Employees!$E$4:$E$43,MATCH(C212,Employees!$B$4:$B$43,0)),0),0))</f>
        <v/>
      </c>
      <c r="J212" s="25" t="str">
        <f aca="false">IF(G212="","",IF(H212="Yes",G212*I212,0))</f>
        <v/>
      </c>
      <c r="K212" s="25" t="str">
        <f aca="false">IF(OR(C212="",G212=""),"",G212*IFERROR(INDEX(Employees!$F$4:$F$43,MATCH(C212,Employees!$B$4:$B$43,0)),0))</f>
        <v/>
      </c>
      <c r="L212" s="28"/>
    </row>
    <row r="213" customFormat="false" ht="15" hidden="false" customHeight="false" outlineLevel="0" collapsed="false">
      <c r="A213" s="26"/>
      <c r="B213" s="27" t="str">
        <f aca="false">IF(A213="","",A213+7-WEEKDAY(A213,1)+1)</f>
        <v/>
      </c>
      <c r="C213" s="28"/>
      <c r="D213" s="29"/>
      <c r="E213" s="28"/>
      <c r="F213" s="28"/>
      <c r="G213" s="30"/>
      <c r="H213" s="31" t="str">
        <f aca="false">IF(E213="","",IFERROR(INDEX(Lists!$C$2:$C$86,MATCH(E213,Lists!$A$2:$A$86,0)),"?"))</f>
        <v/>
      </c>
      <c r="I213" s="32" t="str">
        <f aca="false">IF(OR(C213="",E213=""),"",IF(H213="Yes",IFERROR(INDEX(Employees!$E$4:$E$43,MATCH(C213,Employees!$B$4:$B$43,0)),0),0))</f>
        <v/>
      </c>
      <c r="J213" s="33" t="str">
        <f aca="false">IF(G213="","",IF(H213="Yes",G213*I213,0))</f>
        <v/>
      </c>
      <c r="K213" s="33" t="str">
        <f aca="false">IF(OR(C213="",G213=""),"",G213*IFERROR(INDEX(Employees!$F$4:$F$43,MATCH(C213,Employees!$B$4:$B$43,0)),0))</f>
        <v/>
      </c>
      <c r="L213" s="28"/>
    </row>
    <row r="214" customFormat="false" ht="15" hidden="false" customHeight="false" outlineLevel="0" collapsed="false">
      <c r="A214" s="26"/>
      <c r="B214" s="19" t="str">
        <f aca="false">IF(A214="","",A214+7-WEEKDAY(A214,1)+1)</f>
        <v/>
      </c>
      <c r="C214" s="28"/>
      <c r="D214" s="29"/>
      <c r="E214" s="28"/>
      <c r="F214" s="28"/>
      <c r="G214" s="30"/>
      <c r="H214" s="23" t="str">
        <f aca="false">IF(E214="","",IFERROR(INDEX(Lists!$C$2:$C$86,MATCH(E214,Lists!$A$2:$A$86,0)),"?"))</f>
        <v/>
      </c>
      <c r="I214" s="24" t="str">
        <f aca="false">IF(OR(C214="",E214=""),"",IF(H214="Yes",IFERROR(INDEX(Employees!$E$4:$E$43,MATCH(C214,Employees!$B$4:$B$43,0)),0),0))</f>
        <v/>
      </c>
      <c r="J214" s="25" t="str">
        <f aca="false">IF(G214="","",IF(H214="Yes",G214*I214,0))</f>
        <v/>
      </c>
      <c r="K214" s="25" t="str">
        <f aca="false">IF(OR(C214="",G214=""),"",G214*IFERROR(INDEX(Employees!$F$4:$F$43,MATCH(C214,Employees!$B$4:$B$43,0)),0))</f>
        <v/>
      </c>
      <c r="L214" s="28"/>
    </row>
    <row r="215" customFormat="false" ht="15" hidden="false" customHeight="false" outlineLevel="0" collapsed="false">
      <c r="A215" s="26"/>
      <c r="B215" s="27" t="str">
        <f aca="false">IF(A215="","",A215+7-WEEKDAY(A215,1)+1)</f>
        <v/>
      </c>
      <c r="C215" s="28"/>
      <c r="D215" s="29"/>
      <c r="E215" s="28"/>
      <c r="F215" s="28"/>
      <c r="G215" s="30"/>
      <c r="H215" s="31" t="str">
        <f aca="false">IF(E215="","",IFERROR(INDEX(Lists!$C$2:$C$86,MATCH(E215,Lists!$A$2:$A$86,0)),"?"))</f>
        <v/>
      </c>
      <c r="I215" s="32" t="str">
        <f aca="false">IF(OR(C215="",E215=""),"",IF(H215="Yes",IFERROR(INDEX(Employees!$E$4:$E$43,MATCH(C215,Employees!$B$4:$B$43,0)),0),0))</f>
        <v/>
      </c>
      <c r="J215" s="33" t="str">
        <f aca="false">IF(G215="","",IF(H215="Yes",G215*I215,0))</f>
        <v/>
      </c>
      <c r="K215" s="33" t="str">
        <f aca="false">IF(OR(C215="",G215=""),"",G215*IFERROR(INDEX(Employees!$F$4:$F$43,MATCH(C215,Employees!$B$4:$B$43,0)),0))</f>
        <v/>
      </c>
      <c r="L215" s="28"/>
    </row>
    <row r="216" customFormat="false" ht="15" hidden="false" customHeight="false" outlineLevel="0" collapsed="false">
      <c r="A216" s="26"/>
      <c r="B216" s="19" t="str">
        <f aca="false">IF(A216="","",A216+7-WEEKDAY(A216,1)+1)</f>
        <v/>
      </c>
      <c r="C216" s="28"/>
      <c r="D216" s="29"/>
      <c r="E216" s="28"/>
      <c r="F216" s="28"/>
      <c r="G216" s="30"/>
      <c r="H216" s="23" t="str">
        <f aca="false">IF(E216="","",IFERROR(INDEX(Lists!$C$2:$C$86,MATCH(E216,Lists!$A$2:$A$86,0)),"?"))</f>
        <v/>
      </c>
      <c r="I216" s="24" t="str">
        <f aca="false">IF(OR(C216="",E216=""),"",IF(H216="Yes",IFERROR(INDEX(Employees!$E$4:$E$43,MATCH(C216,Employees!$B$4:$B$43,0)),0),0))</f>
        <v/>
      </c>
      <c r="J216" s="25" t="str">
        <f aca="false">IF(G216="","",IF(H216="Yes",G216*I216,0))</f>
        <v/>
      </c>
      <c r="K216" s="25" t="str">
        <f aca="false">IF(OR(C216="",G216=""),"",G216*IFERROR(INDEX(Employees!$F$4:$F$43,MATCH(C216,Employees!$B$4:$B$43,0)),0))</f>
        <v/>
      </c>
      <c r="L216" s="28"/>
    </row>
    <row r="217" customFormat="false" ht="15" hidden="false" customHeight="false" outlineLevel="0" collapsed="false">
      <c r="A217" s="26"/>
      <c r="B217" s="27" t="str">
        <f aca="false">IF(A217="","",A217+7-WEEKDAY(A217,1)+1)</f>
        <v/>
      </c>
      <c r="C217" s="28"/>
      <c r="D217" s="29"/>
      <c r="E217" s="28"/>
      <c r="F217" s="28"/>
      <c r="G217" s="30"/>
      <c r="H217" s="31" t="str">
        <f aca="false">IF(E217="","",IFERROR(INDEX(Lists!$C$2:$C$86,MATCH(E217,Lists!$A$2:$A$86,0)),"?"))</f>
        <v/>
      </c>
      <c r="I217" s="32" t="str">
        <f aca="false">IF(OR(C217="",E217=""),"",IF(H217="Yes",IFERROR(INDEX(Employees!$E$4:$E$43,MATCH(C217,Employees!$B$4:$B$43,0)),0),0))</f>
        <v/>
      </c>
      <c r="J217" s="33" t="str">
        <f aca="false">IF(G217="","",IF(H217="Yes",G217*I217,0))</f>
        <v/>
      </c>
      <c r="K217" s="33" t="str">
        <f aca="false">IF(OR(C217="",G217=""),"",G217*IFERROR(INDEX(Employees!$F$4:$F$43,MATCH(C217,Employees!$B$4:$B$43,0)),0))</f>
        <v/>
      </c>
      <c r="L217" s="28"/>
    </row>
    <row r="218" customFormat="false" ht="15" hidden="false" customHeight="false" outlineLevel="0" collapsed="false">
      <c r="A218" s="26"/>
      <c r="B218" s="19" t="str">
        <f aca="false">IF(A218="","",A218+7-WEEKDAY(A218,1)+1)</f>
        <v/>
      </c>
      <c r="C218" s="28"/>
      <c r="D218" s="29"/>
      <c r="E218" s="28"/>
      <c r="F218" s="28"/>
      <c r="G218" s="30"/>
      <c r="H218" s="23" t="str">
        <f aca="false">IF(E218="","",IFERROR(INDEX(Lists!$C$2:$C$86,MATCH(E218,Lists!$A$2:$A$86,0)),"?"))</f>
        <v/>
      </c>
      <c r="I218" s="24" t="str">
        <f aca="false">IF(OR(C218="",E218=""),"",IF(H218="Yes",IFERROR(INDEX(Employees!$E$4:$E$43,MATCH(C218,Employees!$B$4:$B$43,0)),0),0))</f>
        <v/>
      </c>
      <c r="J218" s="25" t="str">
        <f aca="false">IF(G218="","",IF(H218="Yes",G218*I218,0))</f>
        <v/>
      </c>
      <c r="K218" s="25" t="str">
        <f aca="false">IF(OR(C218="",G218=""),"",G218*IFERROR(INDEX(Employees!$F$4:$F$43,MATCH(C218,Employees!$B$4:$B$43,0)),0))</f>
        <v/>
      </c>
      <c r="L218" s="28"/>
    </row>
    <row r="219" customFormat="false" ht="15" hidden="false" customHeight="false" outlineLevel="0" collapsed="false">
      <c r="A219" s="26"/>
      <c r="B219" s="27" t="str">
        <f aca="false">IF(A219="","",A219+7-WEEKDAY(A219,1)+1)</f>
        <v/>
      </c>
      <c r="C219" s="28"/>
      <c r="D219" s="29"/>
      <c r="E219" s="28"/>
      <c r="F219" s="28"/>
      <c r="G219" s="30"/>
      <c r="H219" s="31" t="str">
        <f aca="false">IF(E219="","",IFERROR(INDEX(Lists!$C$2:$C$86,MATCH(E219,Lists!$A$2:$A$86,0)),"?"))</f>
        <v/>
      </c>
      <c r="I219" s="32" t="str">
        <f aca="false">IF(OR(C219="",E219=""),"",IF(H219="Yes",IFERROR(INDEX(Employees!$E$4:$E$43,MATCH(C219,Employees!$B$4:$B$43,0)),0),0))</f>
        <v/>
      </c>
      <c r="J219" s="33" t="str">
        <f aca="false">IF(G219="","",IF(H219="Yes",G219*I219,0))</f>
        <v/>
      </c>
      <c r="K219" s="33" t="str">
        <f aca="false">IF(OR(C219="",G219=""),"",G219*IFERROR(INDEX(Employees!$F$4:$F$43,MATCH(C219,Employees!$B$4:$B$43,0)),0))</f>
        <v/>
      </c>
      <c r="L219" s="28"/>
    </row>
    <row r="220" customFormat="false" ht="15" hidden="false" customHeight="false" outlineLevel="0" collapsed="false">
      <c r="A220" s="26"/>
      <c r="B220" s="19" t="str">
        <f aca="false">IF(A220="","",A220+7-WEEKDAY(A220,1)+1)</f>
        <v/>
      </c>
      <c r="C220" s="28"/>
      <c r="D220" s="29"/>
      <c r="E220" s="28"/>
      <c r="F220" s="28"/>
      <c r="G220" s="30"/>
      <c r="H220" s="23" t="str">
        <f aca="false">IF(E220="","",IFERROR(INDEX(Lists!$C$2:$C$86,MATCH(E220,Lists!$A$2:$A$86,0)),"?"))</f>
        <v/>
      </c>
      <c r="I220" s="24" t="str">
        <f aca="false">IF(OR(C220="",E220=""),"",IF(H220="Yes",IFERROR(INDEX(Employees!$E$4:$E$43,MATCH(C220,Employees!$B$4:$B$43,0)),0),0))</f>
        <v/>
      </c>
      <c r="J220" s="25" t="str">
        <f aca="false">IF(G220="","",IF(H220="Yes",G220*I220,0))</f>
        <v/>
      </c>
      <c r="K220" s="25" t="str">
        <f aca="false">IF(OR(C220="",G220=""),"",G220*IFERROR(INDEX(Employees!$F$4:$F$43,MATCH(C220,Employees!$B$4:$B$43,0)),0))</f>
        <v/>
      </c>
      <c r="L220" s="28"/>
    </row>
    <row r="221" customFormat="false" ht="15" hidden="false" customHeight="false" outlineLevel="0" collapsed="false">
      <c r="A221" s="26"/>
      <c r="B221" s="27" t="str">
        <f aca="false">IF(A221="","",A221+7-WEEKDAY(A221,1)+1)</f>
        <v/>
      </c>
      <c r="C221" s="28"/>
      <c r="D221" s="29"/>
      <c r="E221" s="28"/>
      <c r="F221" s="28"/>
      <c r="G221" s="30"/>
      <c r="H221" s="31" t="str">
        <f aca="false">IF(E221="","",IFERROR(INDEX(Lists!$C$2:$C$86,MATCH(E221,Lists!$A$2:$A$86,0)),"?"))</f>
        <v/>
      </c>
      <c r="I221" s="32" t="str">
        <f aca="false">IF(OR(C221="",E221=""),"",IF(H221="Yes",IFERROR(INDEX(Employees!$E$4:$E$43,MATCH(C221,Employees!$B$4:$B$43,0)),0),0))</f>
        <v/>
      </c>
      <c r="J221" s="33" t="str">
        <f aca="false">IF(G221="","",IF(H221="Yes",G221*I221,0))</f>
        <v/>
      </c>
      <c r="K221" s="33" t="str">
        <f aca="false">IF(OR(C221="",G221=""),"",G221*IFERROR(INDEX(Employees!$F$4:$F$43,MATCH(C221,Employees!$B$4:$B$43,0)),0))</f>
        <v/>
      </c>
      <c r="L221" s="28"/>
    </row>
    <row r="222" customFormat="false" ht="15" hidden="false" customHeight="false" outlineLevel="0" collapsed="false">
      <c r="A222" s="26"/>
      <c r="B222" s="19" t="str">
        <f aca="false">IF(A222="","",A222+7-WEEKDAY(A222,1)+1)</f>
        <v/>
      </c>
      <c r="C222" s="28"/>
      <c r="D222" s="29"/>
      <c r="E222" s="28"/>
      <c r="F222" s="28"/>
      <c r="G222" s="30"/>
      <c r="H222" s="23" t="str">
        <f aca="false">IF(E222="","",IFERROR(INDEX(Lists!$C$2:$C$86,MATCH(E222,Lists!$A$2:$A$86,0)),"?"))</f>
        <v/>
      </c>
      <c r="I222" s="24" t="str">
        <f aca="false">IF(OR(C222="",E222=""),"",IF(H222="Yes",IFERROR(INDEX(Employees!$E$4:$E$43,MATCH(C222,Employees!$B$4:$B$43,0)),0),0))</f>
        <v/>
      </c>
      <c r="J222" s="25" t="str">
        <f aca="false">IF(G222="","",IF(H222="Yes",G222*I222,0))</f>
        <v/>
      </c>
      <c r="K222" s="25" t="str">
        <f aca="false">IF(OR(C222="",G222=""),"",G222*IFERROR(INDEX(Employees!$F$4:$F$43,MATCH(C222,Employees!$B$4:$B$43,0)),0))</f>
        <v/>
      </c>
      <c r="L222" s="28"/>
    </row>
    <row r="223" customFormat="false" ht="15" hidden="false" customHeight="false" outlineLevel="0" collapsed="false">
      <c r="A223" s="26"/>
      <c r="B223" s="27" t="str">
        <f aca="false">IF(A223="","",A223+7-WEEKDAY(A223,1)+1)</f>
        <v/>
      </c>
      <c r="C223" s="28"/>
      <c r="D223" s="29"/>
      <c r="E223" s="28"/>
      <c r="F223" s="28"/>
      <c r="G223" s="30"/>
      <c r="H223" s="31" t="str">
        <f aca="false">IF(E223="","",IFERROR(INDEX(Lists!$C$2:$C$86,MATCH(E223,Lists!$A$2:$A$86,0)),"?"))</f>
        <v/>
      </c>
      <c r="I223" s="32" t="str">
        <f aca="false">IF(OR(C223="",E223=""),"",IF(H223="Yes",IFERROR(INDEX(Employees!$E$4:$E$43,MATCH(C223,Employees!$B$4:$B$43,0)),0),0))</f>
        <v/>
      </c>
      <c r="J223" s="33" t="str">
        <f aca="false">IF(G223="","",IF(H223="Yes",G223*I223,0))</f>
        <v/>
      </c>
      <c r="K223" s="33" t="str">
        <f aca="false">IF(OR(C223="",G223=""),"",G223*IFERROR(INDEX(Employees!$F$4:$F$43,MATCH(C223,Employees!$B$4:$B$43,0)),0))</f>
        <v/>
      </c>
      <c r="L223" s="28"/>
    </row>
    <row r="224" customFormat="false" ht="15" hidden="false" customHeight="false" outlineLevel="0" collapsed="false">
      <c r="A224" s="26"/>
      <c r="B224" s="19" t="str">
        <f aca="false">IF(A224="","",A224+7-WEEKDAY(A224,1)+1)</f>
        <v/>
      </c>
      <c r="C224" s="28"/>
      <c r="D224" s="29"/>
      <c r="E224" s="28"/>
      <c r="F224" s="28"/>
      <c r="G224" s="30"/>
      <c r="H224" s="23" t="str">
        <f aca="false">IF(E224="","",IFERROR(INDEX(Lists!$C$2:$C$86,MATCH(E224,Lists!$A$2:$A$86,0)),"?"))</f>
        <v/>
      </c>
      <c r="I224" s="24" t="str">
        <f aca="false">IF(OR(C224="",E224=""),"",IF(H224="Yes",IFERROR(INDEX(Employees!$E$4:$E$43,MATCH(C224,Employees!$B$4:$B$43,0)),0),0))</f>
        <v/>
      </c>
      <c r="J224" s="25" t="str">
        <f aca="false">IF(G224="","",IF(H224="Yes",G224*I224,0))</f>
        <v/>
      </c>
      <c r="K224" s="25" t="str">
        <f aca="false">IF(OR(C224="",G224=""),"",G224*IFERROR(INDEX(Employees!$F$4:$F$43,MATCH(C224,Employees!$B$4:$B$43,0)),0))</f>
        <v/>
      </c>
      <c r="L224" s="28"/>
    </row>
    <row r="225" customFormat="false" ht="15" hidden="false" customHeight="false" outlineLevel="0" collapsed="false">
      <c r="A225" s="26"/>
      <c r="B225" s="27" t="str">
        <f aca="false">IF(A225="","",A225+7-WEEKDAY(A225,1)+1)</f>
        <v/>
      </c>
      <c r="C225" s="28"/>
      <c r="D225" s="29"/>
      <c r="E225" s="28"/>
      <c r="F225" s="28"/>
      <c r="G225" s="30"/>
      <c r="H225" s="31" t="str">
        <f aca="false">IF(E225="","",IFERROR(INDEX(Lists!$C$2:$C$86,MATCH(E225,Lists!$A$2:$A$86,0)),"?"))</f>
        <v/>
      </c>
      <c r="I225" s="32" t="str">
        <f aca="false">IF(OR(C225="",E225=""),"",IF(H225="Yes",IFERROR(INDEX(Employees!$E$4:$E$43,MATCH(C225,Employees!$B$4:$B$43,0)),0),0))</f>
        <v/>
      </c>
      <c r="J225" s="33" t="str">
        <f aca="false">IF(G225="","",IF(H225="Yes",G225*I225,0))</f>
        <v/>
      </c>
      <c r="K225" s="33" t="str">
        <f aca="false">IF(OR(C225="",G225=""),"",G225*IFERROR(INDEX(Employees!$F$4:$F$43,MATCH(C225,Employees!$B$4:$B$43,0)),0))</f>
        <v/>
      </c>
      <c r="L225" s="28"/>
    </row>
    <row r="226" customFormat="false" ht="15" hidden="false" customHeight="false" outlineLevel="0" collapsed="false">
      <c r="A226" s="26"/>
      <c r="B226" s="19" t="str">
        <f aca="false">IF(A226="","",A226+7-WEEKDAY(A226,1)+1)</f>
        <v/>
      </c>
      <c r="C226" s="28"/>
      <c r="D226" s="29"/>
      <c r="E226" s="28"/>
      <c r="F226" s="28"/>
      <c r="G226" s="30"/>
      <c r="H226" s="23" t="str">
        <f aca="false">IF(E226="","",IFERROR(INDEX(Lists!$C$2:$C$86,MATCH(E226,Lists!$A$2:$A$86,0)),"?"))</f>
        <v/>
      </c>
      <c r="I226" s="24" t="str">
        <f aca="false">IF(OR(C226="",E226=""),"",IF(H226="Yes",IFERROR(INDEX(Employees!$E$4:$E$43,MATCH(C226,Employees!$B$4:$B$43,0)),0),0))</f>
        <v/>
      </c>
      <c r="J226" s="25" t="str">
        <f aca="false">IF(G226="","",IF(H226="Yes",G226*I226,0))</f>
        <v/>
      </c>
      <c r="K226" s="25" t="str">
        <f aca="false">IF(OR(C226="",G226=""),"",G226*IFERROR(INDEX(Employees!$F$4:$F$43,MATCH(C226,Employees!$B$4:$B$43,0)),0))</f>
        <v/>
      </c>
      <c r="L226" s="28"/>
    </row>
    <row r="227" customFormat="false" ht="15" hidden="false" customHeight="false" outlineLevel="0" collapsed="false">
      <c r="A227" s="26"/>
      <c r="B227" s="27" t="str">
        <f aca="false">IF(A227="","",A227+7-WEEKDAY(A227,1)+1)</f>
        <v/>
      </c>
      <c r="C227" s="28"/>
      <c r="D227" s="29"/>
      <c r="E227" s="28"/>
      <c r="F227" s="28"/>
      <c r="G227" s="30"/>
      <c r="H227" s="31" t="str">
        <f aca="false">IF(E227="","",IFERROR(INDEX(Lists!$C$2:$C$86,MATCH(E227,Lists!$A$2:$A$86,0)),"?"))</f>
        <v/>
      </c>
      <c r="I227" s="32" t="str">
        <f aca="false">IF(OR(C227="",E227=""),"",IF(H227="Yes",IFERROR(INDEX(Employees!$E$4:$E$43,MATCH(C227,Employees!$B$4:$B$43,0)),0),0))</f>
        <v/>
      </c>
      <c r="J227" s="33" t="str">
        <f aca="false">IF(G227="","",IF(H227="Yes",G227*I227,0))</f>
        <v/>
      </c>
      <c r="K227" s="33" t="str">
        <f aca="false">IF(OR(C227="",G227=""),"",G227*IFERROR(INDEX(Employees!$F$4:$F$43,MATCH(C227,Employees!$B$4:$B$43,0)),0))</f>
        <v/>
      </c>
      <c r="L227" s="28"/>
    </row>
    <row r="228" customFormat="false" ht="15" hidden="false" customHeight="false" outlineLevel="0" collapsed="false">
      <c r="A228" s="26"/>
      <c r="B228" s="19" t="str">
        <f aca="false">IF(A228="","",A228+7-WEEKDAY(A228,1)+1)</f>
        <v/>
      </c>
      <c r="C228" s="28"/>
      <c r="D228" s="29"/>
      <c r="E228" s="28"/>
      <c r="F228" s="28"/>
      <c r="G228" s="30"/>
      <c r="H228" s="23" t="str">
        <f aca="false">IF(E228="","",IFERROR(INDEX(Lists!$C$2:$C$86,MATCH(E228,Lists!$A$2:$A$86,0)),"?"))</f>
        <v/>
      </c>
      <c r="I228" s="24" t="str">
        <f aca="false">IF(OR(C228="",E228=""),"",IF(H228="Yes",IFERROR(INDEX(Employees!$E$4:$E$43,MATCH(C228,Employees!$B$4:$B$43,0)),0),0))</f>
        <v/>
      </c>
      <c r="J228" s="25" t="str">
        <f aca="false">IF(G228="","",IF(H228="Yes",G228*I228,0))</f>
        <v/>
      </c>
      <c r="K228" s="25" t="str">
        <f aca="false">IF(OR(C228="",G228=""),"",G228*IFERROR(INDEX(Employees!$F$4:$F$43,MATCH(C228,Employees!$B$4:$B$43,0)),0))</f>
        <v/>
      </c>
      <c r="L228" s="28"/>
    </row>
    <row r="229" customFormat="false" ht="15" hidden="false" customHeight="false" outlineLevel="0" collapsed="false">
      <c r="A229" s="26"/>
      <c r="B229" s="27" t="str">
        <f aca="false">IF(A229="","",A229+7-WEEKDAY(A229,1)+1)</f>
        <v/>
      </c>
      <c r="C229" s="28"/>
      <c r="D229" s="29"/>
      <c r="E229" s="28"/>
      <c r="F229" s="28"/>
      <c r="G229" s="30"/>
      <c r="H229" s="31" t="str">
        <f aca="false">IF(E229="","",IFERROR(INDEX(Lists!$C$2:$C$86,MATCH(E229,Lists!$A$2:$A$86,0)),"?"))</f>
        <v/>
      </c>
      <c r="I229" s="32" t="str">
        <f aca="false">IF(OR(C229="",E229=""),"",IF(H229="Yes",IFERROR(INDEX(Employees!$E$4:$E$43,MATCH(C229,Employees!$B$4:$B$43,0)),0),0))</f>
        <v/>
      </c>
      <c r="J229" s="33" t="str">
        <f aca="false">IF(G229="","",IF(H229="Yes",G229*I229,0))</f>
        <v/>
      </c>
      <c r="K229" s="33" t="str">
        <f aca="false">IF(OR(C229="",G229=""),"",G229*IFERROR(INDEX(Employees!$F$4:$F$43,MATCH(C229,Employees!$B$4:$B$43,0)),0))</f>
        <v/>
      </c>
      <c r="L229" s="28"/>
    </row>
    <row r="230" customFormat="false" ht="15" hidden="false" customHeight="false" outlineLevel="0" collapsed="false">
      <c r="A230" s="26"/>
      <c r="B230" s="19" t="str">
        <f aca="false">IF(A230="","",A230+7-WEEKDAY(A230,1)+1)</f>
        <v/>
      </c>
      <c r="C230" s="28"/>
      <c r="D230" s="29"/>
      <c r="E230" s="28"/>
      <c r="F230" s="28"/>
      <c r="G230" s="30"/>
      <c r="H230" s="23" t="str">
        <f aca="false">IF(E230="","",IFERROR(INDEX(Lists!$C$2:$C$86,MATCH(E230,Lists!$A$2:$A$86,0)),"?"))</f>
        <v/>
      </c>
      <c r="I230" s="24" t="str">
        <f aca="false">IF(OR(C230="",E230=""),"",IF(H230="Yes",IFERROR(INDEX(Employees!$E$4:$E$43,MATCH(C230,Employees!$B$4:$B$43,0)),0),0))</f>
        <v/>
      </c>
      <c r="J230" s="25" t="str">
        <f aca="false">IF(G230="","",IF(H230="Yes",G230*I230,0))</f>
        <v/>
      </c>
      <c r="K230" s="25" t="str">
        <f aca="false">IF(OR(C230="",G230=""),"",G230*IFERROR(INDEX(Employees!$F$4:$F$43,MATCH(C230,Employees!$B$4:$B$43,0)),0))</f>
        <v/>
      </c>
      <c r="L230" s="28"/>
    </row>
    <row r="231" customFormat="false" ht="15" hidden="false" customHeight="false" outlineLevel="0" collapsed="false">
      <c r="A231" s="26"/>
      <c r="B231" s="27" t="str">
        <f aca="false">IF(A231="","",A231+7-WEEKDAY(A231,1)+1)</f>
        <v/>
      </c>
      <c r="C231" s="28"/>
      <c r="D231" s="29"/>
      <c r="E231" s="28"/>
      <c r="F231" s="28"/>
      <c r="G231" s="30"/>
      <c r="H231" s="31" t="str">
        <f aca="false">IF(E231="","",IFERROR(INDEX(Lists!$C$2:$C$86,MATCH(E231,Lists!$A$2:$A$86,0)),"?"))</f>
        <v/>
      </c>
      <c r="I231" s="32" t="str">
        <f aca="false">IF(OR(C231="",E231=""),"",IF(H231="Yes",IFERROR(INDEX(Employees!$E$4:$E$43,MATCH(C231,Employees!$B$4:$B$43,0)),0),0))</f>
        <v/>
      </c>
      <c r="J231" s="33" t="str">
        <f aca="false">IF(G231="","",IF(H231="Yes",G231*I231,0))</f>
        <v/>
      </c>
      <c r="K231" s="33" t="str">
        <f aca="false">IF(OR(C231="",G231=""),"",G231*IFERROR(INDEX(Employees!$F$4:$F$43,MATCH(C231,Employees!$B$4:$B$43,0)),0))</f>
        <v/>
      </c>
      <c r="L231" s="28"/>
    </row>
    <row r="232" customFormat="false" ht="15" hidden="false" customHeight="false" outlineLevel="0" collapsed="false">
      <c r="A232" s="26"/>
      <c r="B232" s="19" t="str">
        <f aca="false">IF(A232="","",A232+7-WEEKDAY(A232,1)+1)</f>
        <v/>
      </c>
      <c r="C232" s="28"/>
      <c r="D232" s="29"/>
      <c r="E232" s="28"/>
      <c r="F232" s="28"/>
      <c r="G232" s="30"/>
      <c r="H232" s="23" t="str">
        <f aca="false">IF(E232="","",IFERROR(INDEX(Lists!$C$2:$C$86,MATCH(E232,Lists!$A$2:$A$86,0)),"?"))</f>
        <v/>
      </c>
      <c r="I232" s="24" t="str">
        <f aca="false">IF(OR(C232="",E232=""),"",IF(H232="Yes",IFERROR(INDEX(Employees!$E$4:$E$43,MATCH(C232,Employees!$B$4:$B$43,0)),0),0))</f>
        <v/>
      </c>
      <c r="J232" s="25" t="str">
        <f aca="false">IF(G232="","",IF(H232="Yes",G232*I232,0))</f>
        <v/>
      </c>
      <c r="K232" s="25" t="str">
        <f aca="false">IF(OR(C232="",G232=""),"",G232*IFERROR(INDEX(Employees!$F$4:$F$43,MATCH(C232,Employees!$B$4:$B$43,0)),0))</f>
        <v/>
      </c>
      <c r="L232" s="28"/>
    </row>
    <row r="233" customFormat="false" ht="15" hidden="false" customHeight="false" outlineLevel="0" collapsed="false">
      <c r="A233" s="26"/>
      <c r="B233" s="27" t="str">
        <f aca="false">IF(A233="","",A233+7-WEEKDAY(A233,1)+1)</f>
        <v/>
      </c>
      <c r="C233" s="28"/>
      <c r="D233" s="29"/>
      <c r="E233" s="28"/>
      <c r="F233" s="28"/>
      <c r="G233" s="30"/>
      <c r="H233" s="31" t="str">
        <f aca="false">IF(E233="","",IFERROR(INDEX(Lists!$C$2:$C$86,MATCH(E233,Lists!$A$2:$A$86,0)),"?"))</f>
        <v/>
      </c>
      <c r="I233" s="32" t="str">
        <f aca="false">IF(OR(C233="",E233=""),"",IF(H233="Yes",IFERROR(INDEX(Employees!$E$4:$E$43,MATCH(C233,Employees!$B$4:$B$43,0)),0),0))</f>
        <v/>
      </c>
      <c r="J233" s="33" t="str">
        <f aca="false">IF(G233="","",IF(H233="Yes",G233*I233,0))</f>
        <v/>
      </c>
      <c r="K233" s="33" t="str">
        <f aca="false">IF(OR(C233="",G233=""),"",G233*IFERROR(INDEX(Employees!$F$4:$F$43,MATCH(C233,Employees!$B$4:$B$43,0)),0))</f>
        <v/>
      </c>
      <c r="L233" s="28"/>
    </row>
    <row r="234" customFormat="false" ht="15" hidden="false" customHeight="false" outlineLevel="0" collapsed="false">
      <c r="A234" s="26"/>
      <c r="B234" s="19" t="str">
        <f aca="false">IF(A234="","",A234+7-WEEKDAY(A234,1)+1)</f>
        <v/>
      </c>
      <c r="C234" s="28"/>
      <c r="D234" s="29"/>
      <c r="E234" s="28"/>
      <c r="F234" s="28"/>
      <c r="G234" s="30"/>
      <c r="H234" s="23" t="str">
        <f aca="false">IF(E234="","",IFERROR(INDEX(Lists!$C$2:$C$86,MATCH(E234,Lists!$A$2:$A$86,0)),"?"))</f>
        <v/>
      </c>
      <c r="I234" s="24" t="str">
        <f aca="false">IF(OR(C234="",E234=""),"",IF(H234="Yes",IFERROR(INDEX(Employees!$E$4:$E$43,MATCH(C234,Employees!$B$4:$B$43,0)),0),0))</f>
        <v/>
      </c>
      <c r="J234" s="25" t="str">
        <f aca="false">IF(G234="","",IF(H234="Yes",G234*I234,0))</f>
        <v/>
      </c>
      <c r="K234" s="25" t="str">
        <f aca="false">IF(OR(C234="",G234=""),"",G234*IFERROR(INDEX(Employees!$F$4:$F$43,MATCH(C234,Employees!$B$4:$B$43,0)),0))</f>
        <v/>
      </c>
      <c r="L234" s="28"/>
    </row>
    <row r="235" customFormat="false" ht="15" hidden="false" customHeight="false" outlineLevel="0" collapsed="false">
      <c r="A235" s="26"/>
      <c r="B235" s="27" t="str">
        <f aca="false">IF(A235="","",A235+7-WEEKDAY(A235,1)+1)</f>
        <v/>
      </c>
      <c r="C235" s="28"/>
      <c r="D235" s="29"/>
      <c r="E235" s="28"/>
      <c r="F235" s="28"/>
      <c r="G235" s="30"/>
      <c r="H235" s="31" t="str">
        <f aca="false">IF(E235="","",IFERROR(INDEX(Lists!$C$2:$C$86,MATCH(E235,Lists!$A$2:$A$86,0)),"?"))</f>
        <v/>
      </c>
      <c r="I235" s="32" t="str">
        <f aca="false">IF(OR(C235="",E235=""),"",IF(H235="Yes",IFERROR(INDEX(Employees!$E$4:$E$43,MATCH(C235,Employees!$B$4:$B$43,0)),0),0))</f>
        <v/>
      </c>
      <c r="J235" s="33" t="str">
        <f aca="false">IF(G235="","",IF(H235="Yes",G235*I235,0))</f>
        <v/>
      </c>
      <c r="K235" s="33" t="str">
        <f aca="false">IF(OR(C235="",G235=""),"",G235*IFERROR(INDEX(Employees!$F$4:$F$43,MATCH(C235,Employees!$B$4:$B$43,0)),0))</f>
        <v/>
      </c>
      <c r="L235" s="28"/>
    </row>
    <row r="236" customFormat="false" ht="15" hidden="false" customHeight="false" outlineLevel="0" collapsed="false">
      <c r="A236" s="26"/>
      <c r="B236" s="19" t="str">
        <f aca="false">IF(A236="","",A236+7-WEEKDAY(A236,1)+1)</f>
        <v/>
      </c>
      <c r="C236" s="28"/>
      <c r="D236" s="29"/>
      <c r="E236" s="28"/>
      <c r="F236" s="28"/>
      <c r="G236" s="30"/>
      <c r="H236" s="23" t="str">
        <f aca="false">IF(E236="","",IFERROR(INDEX(Lists!$C$2:$C$86,MATCH(E236,Lists!$A$2:$A$86,0)),"?"))</f>
        <v/>
      </c>
      <c r="I236" s="24" t="str">
        <f aca="false">IF(OR(C236="",E236=""),"",IF(H236="Yes",IFERROR(INDEX(Employees!$E$4:$E$43,MATCH(C236,Employees!$B$4:$B$43,0)),0),0))</f>
        <v/>
      </c>
      <c r="J236" s="25" t="str">
        <f aca="false">IF(G236="","",IF(H236="Yes",G236*I236,0))</f>
        <v/>
      </c>
      <c r="K236" s="25" t="str">
        <f aca="false">IF(OR(C236="",G236=""),"",G236*IFERROR(INDEX(Employees!$F$4:$F$43,MATCH(C236,Employees!$B$4:$B$43,0)),0))</f>
        <v/>
      </c>
      <c r="L236" s="28"/>
    </row>
    <row r="237" customFormat="false" ht="15" hidden="false" customHeight="false" outlineLevel="0" collapsed="false">
      <c r="A237" s="26"/>
      <c r="B237" s="27" t="str">
        <f aca="false">IF(A237="","",A237+7-WEEKDAY(A237,1)+1)</f>
        <v/>
      </c>
      <c r="C237" s="28"/>
      <c r="D237" s="29"/>
      <c r="E237" s="28"/>
      <c r="F237" s="28"/>
      <c r="G237" s="30"/>
      <c r="H237" s="31" t="str">
        <f aca="false">IF(E237="","",IFERROR(INDEX(Lists!$C$2:$C$86,MATCH(E237,Lists!$A$2:$A$86,0)),"?"))</f>
        <v/>
      </c>
      <c r="I237" s="32" t="str">
        <f aca="false">IF(OR(C237="",E237=""),"",IF(H237="Yes",IFERROR(INDEX(Employees!$E$4:$E$43,MATCH(C237,Employees!$B$4:$B$43,0)),0),0))</f>
        <v/>
      </c>
      <c r="J237" s="33" t="str">
        <f aca="false">IF(G237="","",IF(H237="Yes",G237*I237,0))</f>
        <v/>
      </c>
      <c r="K237" s="33" t="str">
        <f aca="false">IF(OR(C237="",G237=""),"",G237*IFERROR(INDEX(Employees!$F$4:$F$43,MATCH(C237,Employees!$B$4:$B$43,0)),0))</f>
        <v/>
      </c>
      <c r="L237" s="28"/>
    </row>
    <row r="238" customFormat="false" ht="15" hidden="false" customHeight="false" outlineLevel="0" collapsed="false">
      <c r="A238" s="26"/>
      <c r="B238" s="19" t="str">
        <f aca="false">IF(A238="","",A238+7-WEEKDAY(A238,1)+1)</f>
        <v/>
      </c>
      <c r="C238" s="28"/>
      <c r="D238" s="29"/>
      <c r="E238" s="28"/>
      <c r="F238" s="28"/>
      <c r="G238" s="30"/>
      <c r="H238" s="23" t="str">
        <f aca="false">IF(E238="","",IFERROR(INDEX(Lists!$C$2:$C$86,MATCH(E238,Lists!$A$2:$A$86,0)),"?"))</f>
        <v/>
      </c>
      <c r="I238" s="24" t="str">
        <f aca="false">IF(OR(C238="",E238=""),"",IF(H238="Yes",IFERROR(INDEX(Employees!$E$4:$E$43,MATCH(C238,Employees!$B$4:$B$43,0)),0),0))</f>
        <v/>
      </c>
      <c r="J238" s="25" t="str">
        <f aca="false">IF(G238="","",IF(H238="Yes",G238*I238,0))</f>
        <v/>
      </c>
      <c r="K238" s="25" t="str">
        <f aca="false">IF(OR(C238="",G238=""),"",G238*IFERROR(INDEX(Employees!$F$4:$F$43,MATCH(C238,Employees!$B$4:$B$43,0)),0))</f>
        <v/>
      </c>
      <c r="L238" s="28"/>
    </row>
    <row r="239" customFormat="false" ht="15" hidden="false" customHeight="false" outlineLevel="0" collapsed="false">
      <c r="A239" s="26"/>
      <c r="B239" s="27" t="str">
        <f aca="false">IF(A239="","",A239+7-WEEKDAY(A239,1)+1)</f>
        <v/>
      </c>
      <c r="C239" s="28"/>
      <c r="D239" s="29"/>
      <c r="E239" s="28"/>
      <c r="F239" s="28"/>
      <c r="G239" s="30"/>
      <c r="H239" s="31" t="str">
        <f aca="false">IF(E239="","",IFERROR(INDEX(Lists!$C$2:$C$86,MATCH(E239,Lists!$A$2:$A$86,0)),"?"))</f>
        <v/>
      </c>
      <c r="I239" s="32" t="str">
        <f aca="false">IF(OR(C239="",E239=""),"",IF(H239="Yes",IFERROR(INDEX(Employees!$E$4:$E$43,MATCH(C239,Employees!$B$4:$B$43,0)),0),0))</f>
        <v/>
      </c>
      <c r="J239" s="33" t="str">
        <f aca="false">IF(G239="","",IF(H239="Yes",G239*I239,0))</f>
        <v/>
      </c>
      <c r="K239" s="33" t="str">
        <f aca="false">IF(OR(C239="",G239=""),"",G239*IFERROR(INDEX(Employees!$F$4:$F$43,MATCH(C239,Employees!$B$4:$B$43,0)),0))</f>
        <v/>
      </c>
      <c r="L239" s="28"/>
    </row>
    <row r="240" customFormat="false" ht="15" hidden="false" customHeight="false" outlineLevel="0" collapsed="false">
      <c r="A240" s="26"/>
      <c r="B240" s="19" t="str">
        <f aca="false">IF(A240="","",A240+7-WEEKDAY(A240,1)+1)</f>
        <v/>
      </c>
      <c r="C240" s="28"/>
      <c r="D240" s="29"/>
      <c r="E240" s="28"/>
      <c r="F240" s="28"/>
      <c r="G240" s="30"/>
      <c r="H240" s="23" t="str">
        <f aca="false">IF(E240="","",IFERROR(INDEX(Lists!$C$2:$C$86,MATCH(E240,Lists!$A$2:$A$86,0)),"?"))</f>
        <v/>
      </c>
      <c r="I240" s="24" t="str">
        <f aca="false">IF(OR(C240="",E240=""),"",IF(H240="Yes",IFERROR(INDEX(Employees!$E$4:$E$43,MATCH(C240,Employees!$B$4:$B$43,0)),0),0))</f>
        <v/>
      </c>
      <c r="J240" s="25" t="str">
        <f aca="false">IF(G240="","",IF(H240="Yes",G240*I240,0))</f>
        <v/>
      </c>
      <c r="K240" s="25" t="str">
        <f aca="false">IF(OR(C240="",G240=""),"",G240*IFERROR(INDEX(Employees!$F$4:$F$43,MATCH(C240,Employees!$B$4:$B$43,0)),0))</f>
        <v/>
      </c>
      <c r="L240" s="28"/>
    </row>
    <row r="241" customFormat="false" ht="15" hidden="false" customHeight="false" outlineLevel="0" collapsed="false">
      <c r="A241" s="26"/>
      <c r="B241" s="27" t="str">
        <f aca="false">IF(A241="","",A241+7-WEEKDAY(A241,1)+1)</f>
        <v/>
      </c>
      <c r="C241" s="28"/>
      <c r="D241" s="29"/>
      <c r="E241" s="28"/>
      <c r="F241" s="28"/>
      <c r="G241" s="30"/>
      <c r="H241" s="31" t="str">
        <f aca="false">IF(E241="","",IFERROR(INDEX(Lists!$C$2:$C$86,MATCH(E241,Lists!$A$2:$A$86,0)),"?"))</f>
        <v/>
      </c>
      <c r="I241" s="32" t="str">
        <f aca="false">IF(OR(C241="",E241=""),"",IF(H241="Yes",IFERROR(INDEX(Employees!$E$4:$E$43,MATCH(C241,Employees!$B$4:$B$43,0)),0),0))</f>
        <v/>
      </c>
      <c r="J241" s="33" t="str">
        <f aca="false">IF(G241="","",IF(H241="Yes",G241*I241,0))</f>
        <v/>
      </c>
      <c r="K241" s="33" t="str">
        <f aca="false">IF(OR(C241="",G241=""),"",G241*IFERROR(INDEX(Employees!$F$4:$F$43,MATCH(C241,Employees!$B$4:$B$43,0)),0))</f>
        <v/>
      </c>
      <c r="L241" s="28"/>
    </row>
    <row r="242" customFormat="false" ht="15" hidden="false" customHeight="false" outlineLevel="0" collapsed="false">
      <c r="A242" s="26"/>
      <c r="B242" s="19" t="str">
        <f aca="false">IF(A242="","",A242+7-WEEKDAY(A242,1)+1)</f>
        <v/>
      </c>
      <c r="C242" s="28"/>
      <c r="D242" s="29"/>
      <c r="E242" s="28"/>
      <c r="F242" s="28"/>
      <c r="G242" s="30"/>
      <c r="H242" s="23" t="str">
        <f aca="false">IF(E242="","",IFERROR(INDEX(Lists!$C$2:$C$86,MATCH(E242,Lists!$A$2:$A$86,0)),"?"))</f>
        <v/>
      </c>
      <c r="I242" s="24" t="str">
        <f aca="false">IF(OR(C242="",E242=""),"",IF(H242="Yes",IFERROR(INDEX(Employees!$E$4:$E$43,MATCH(C242,Employees!$B$4:$B$43,0)),0),0))</f>
        <v/>
      </c>
      <c r="J242" s="25" t="str">
        <f aca="false">IF(G242="","",IF(H242="Yes",G242*I242,0))</f>
        <v/>
      </c>
      <c r="K242" s="25" t="str">
        <f aca="false">IF(OR(C242="",G242=""),"",G242*IFERROR(INDEX(Employees!$F$4:$F$43,MATCH(C242,Employees!$B$4:$B$43,0)),0))</f>
        <v/>
      </c>
      <c r="L242" s="28"/>
    </row>
    <row r="243" customFormat="false" ht="15" hidden="false" customHeight="false" outlineLevel="0" collapsed="false">
      <c r="A243" s="26"/>
      <c r="B243" s="27" t="str">
        <f aca="false">IF(A243="","",A243+7-WEEKDAY(A243,1)+1)</f>
        <v/>
      </c>
      <c r="C243" s="28"/>
      <c r="D243" s="29"/>
      <c r="E243" s="28"/>
      <c r="F243" s="28"/>
      <c r="G243" s="30"/>
      <c r="H243" s="31" t="str">
        <f aca="false">IF(E243="","",IFERROR(INDEX(Lists!$C$2:$C$86,MATCH(E243,Lists!$A$2:$A$86,0)),"?"))</f>
        <v/>
      </c>
      <c r="I243" s="32" t="str">
        <f aca="false">IF(OR(C243="",E243=""),"",IF(H243="Yes",IFERROR(INDEX(Employees!$E$4:$E$43,MATCH(C243,Employees!$B$4:$B$43,0)),0),0))</f>
        <v/>
      </c>
      <c r="J243" s="33" t="str">
        <f aca="false">IF(G243="","",IF(H243="Yes",G243*I243,0))</f>
        <v/>
      </c>
      <c r="K243" s="33" t="str">
        <f aca="false">IF(OR(C243="",G243=""),"",G243*IFERROR(INDEX(Employees!$F$4:$F$43,MATCH(C243,Employees!$B$4:$B$43,0)),0))</f>
        <v/>
      </c>
      <c r="L243" s="28"/>
    </row>
    <row r="244" customFormat="false" ht="15" hidden="false" customHeight="false" outlineLevel="0" collapsed="false">
      <c r="A244" s="26"/>
      <c r="B244" s="19" t="str">
        <f aca="false">IF(A244="","",A244+7-WEEKDAY(A244,1)+1)</f>
        <v/>
      </c>
      <c r="C244" s="28"/>
      <c r="D244" s="29"/>
      <c r="E244" s="28"/>
      <c r="F244" s="28"/>
      <c r="G244" s="30"/>
      <c r="H244" s="23" t="str">
        <f aca="false">IF(E244="","",IFERROR(INDEX(Lists!$C$2:$C$86,MATCH(E244,Lists!$A$2:$A$86,0)),"?"))</f>
        <v/>
      </c>
      <c r="I244" s="24" t="str">
        <f aca="false">IF(OR(C244="",E244=""),"",IF(H244="Yes",IFERROR(INDEX(Employees!$E$4:$E$43,MATCH(C244,Employees!$B$4:$B$43,0)),0),0))</f>
        <v/>
      </c>
      <c r="J244" s="25" t="str">
        <f aca="false">IF(G244="","",IF(H244="Yes",G244*I244,0))</f>
        <v/>
      </c>
      <c r="K244" s="25" t="str">
        <f aca="false">IF(OR(C244="",G244=""),"",G244*IFERROR(INDEX(Employees!$F$4:$F$43,MATCH(C244,Employees!$B$4:$B$43,0)),0))</f>
        <v/>
      </c>
      <c r="L244" s="28"/>
    </row>
    <row r="245" customFormat="false" ht="15" hidden="false" customHeight="false" outlineLevel="0" collapsed="false">
      <c r="A245" s="26"/>
      <c r="B245" s="27" t="str">
        <f aca="false">IF(A245="","",A245+7-WEEKDAY(A245,1)+1)</f>
        <v/>
      </c>
      <c r="C245" s="28"/>
      <c r="D245" s="29"/>
      <c r="E245" s="28"/>
      <c r="F245" s="28"/>
      <c r="G245" s="30"/>
      <c r="H245" s="31" t="str">
        <f aca="false">IF(E245="","",IFERROR(INDEX(Lists!$C$2:$C$86,MATCH(E245,Lists!$A$2:$A$86,0)),"?"))</f>
        <v/>
      </c>
      <c r="I245" s="32" t="str">
        <f aca="false">IF(OR(C245="",E245=""),"",IF(H245="Yes",IFERROR(INDEX(Employees!$E$4:$E$43,MATCH(C245,Employees!$B$4:$B$43,0)),0),0))</f>
        <v/>
      </c>
      <c r="J245" s="33" t="str">
        <f aca="false">IF(G245="","",IF(H245="Yes",G245*I245,0))</f>
        <v/>
      </c>
      <c r="K245" s="33" t="str">
        <f aca="false">IF(OR(C245="",G245=""),"",G245*IFERROR(INDEX(Employees!$F$4:$F$43,MATCH(C245,Employees!$B$4:$B$43,0)),0))</f>
        <v/>
      </c>
      <c r="L245" s="28"/>
    </row>
    <row r="246" customFormat="false" ht="15" hidden="false" customHeight="false" outlineLevel="0" collapsed="false">
      <c r="A246" s="26"/>
      <c r="B246" s="19" t="str">
        <f aca="false">IF(A246="","",A246+7-WEEKDAY(A246,1)+1)</f>
        <v/>
      </c>
      <c r="C246" s="28"/>
      <c r="D246" s="29"/>
      <c r="E246" s="28"/>
      <c r="F246" s="28"/>
      <c r="G246" s="30"/>
      <c r="H246" s="23" t="str">
        <f aca="false">IF(E246="","",IFERROR(INDEX(Lists!$C$2:$C$86,MATCH(E246,Lists!$A$2:$A$86,0)),"?"))</f>
        <v/>
      </c>
      <c r="I246" s="24" t="str">
        <f aca="false">IF(OR(C246="",E246=""),"",IF(H246="Yes",IFERROR(INDEX(Employees!$E$4:$E$43,MATCH(C246,Employees!$B$4:$B$43,0)),0),0))</f>
        <v/>
      </c>
      <c r="J246" s="25" t="str">
        <f aca="false">IF(G246="","",IF(H246="Yes",G246*I246,0))</f>
        <v/>
      </c>
      <c r="K246" s="25" t="str">
        <f aca="false">IF(OR(C246="",G246=""),"",G246*IFERROR(INDEX(Employees!$F$4:$F$43,MATCH(C246,Employees!$B$4:$B$43,0)),0))</f>
        <v/>
      </c>
      <c r="L246" s="28"/>
    </row>
    <row r="247" customFormat="false" ht="15" hidden="false" customHeight="false" outlineLevel="0" collapsed="false">
      <c r="A247" s="26"/>
      <c r="B247" s="27" t="str">
        <f aca="false">IF(A247="","",A247+7-WEEKDAY(A247,1)+1)</f>
        <v/>
      </c>
      <c r="C247" s="28"/>
      <c r="D247" s="29"/>
      <c r="E247" s="28"/>
      <c r="F247" s="28"/>
      <c r="G247" s="30"/>
      <c r="H247" s="31" t="str">
        <f aca="false">IF(E247="","",IFERROR(INDEX(Lists!$C$2:$C$86,MATCH(E247,Lists!$A$2:$A$86,0)),"?"))</f>
        <v/>
      </c>
      <c r="I247" s="32" t="str">
        <f aca="false">IF(OR(C247="",E247=""),"",IF(H247="Yes",IFERROR(INDEX(Employees!$E$4:$E$43,MATCH(C247,Employees!$B$4:$B$43,0)),0),0))</f>
        <v/>
      </c>
      <c r="J247" s="33" t="str">
        <f aca="false">IF(G247="","",IF(H247="Yes",G247*I247,0))</f>
        <v/>
      </c>
      <c r="K247" s="33" t="str">
        <f aca="false">IF(OR(C247="",G247=""),"",G247*IFERROR(INDEX(Employees!$F$4:$F$43,MATCH(C247,Employees!$B$4:$B$43,0)),0))</f>
        <v/>
      </c>
      <c r="L247" s="28"/>
    </row>
    <row r="248" customFormat="false" ht="15" hidden="false" customHeight="false" outlineLevel="0" collapsed="false">
      <c r="A248" s="26"/>
      <c r="B248" s="19" t="str">
        <f aca="false">IF(A248="","",A248+7-WEEKDAY(A248,1)+1)</f>
        <v/>
      </c>
      <c r="C248" s="28"/>
      <c r="D248" s="29"/>
      <c r="E248" s="28"/>
      <c r="F248" s="28"/>
      <c r="G248" s="30"/>
      <c r="H248" s="23" t="str">
        <f aca="false">IF(E248="","",IFERROR(INDEX(Lists!$C$2:$C$86,MATCH(E248,Lists!$A$2:$A$86,0)),"?"))</f>
        <v/>
      </c>
      <c r="I248" s="24" t="str">
        <f aca="false">IF(OR(C248="",E248=""),"",IF(H248="Yes",IFERROR(INDEX(Employees!$E$4:$E$43,MATCH(C248,Employees!$B$4:$B$43,0)),0),0))</f>
        <v/>
      </c>
      <c r="J248" s="25" t="str">
        <f aca="false">IF(G248="","",IF(H248="Yes",G248*I248,0))</f>
        <v/>
      </c>
      <c r="K248" s="25" t="str">
        <f aca="false">IF(OR(C248="",G248=""),"",G248*IFERROR(INDEX(Employees!$F$4:$F$43,MATCH(C248,Employees!$B$4:$B$43,0)),0))</f>
        <v/>
      </c>
      <c r="L248" s="28"/>
    </row>
    <row r="249" customFormat="false" ht="15" hidden="false" customHeight="false" outlineLevel="0" collapsed="false">
      <c r="A249" s="26"/>
      <c r="B249" s="27" t="str">
        <f aca="false">IF(A249="","",A249+7-WEEKDAY(A249,1)+1)</f>
        <v/>
      </c>
      <c r="C249" s="28"/>
      <c r="D249" s="29"/>
      <c r="E249" s="28"/>
      <c r="F249" s="28"/>
      <c r="G249" s="30"/>
      <c r="H249" s="31" t="str">
        <f aca="false">IF(E249="","",IFERROR(INDEX(Lists!$C$2:$C$86,MATCH(E249,Lists!$A$2:$A$86,0)),"?"))</f>
        <v/>
      </c>
      <c r="I249" s="32" t="str">
        <f aca="false">IF(OR(C249="",E249=""),"",IF(H249="Yes",IFERROR(INDEX(Employees!$E$4:$E$43,MATCH(C249,Employees!$B$4:$B$43,0)),0),0))</f>
        <v/>
      </c>
      <c r="J249" s="33" t="str">
        <f aca="false">IF(G249="","",IF(H249="Yes",G249*I249,0))</f>
        <v/>
      </c>
      <c r="K249" s="33" t="str">
        <f aca="false">IF(OR(C249="",G249=""),"",G249*IFERROR(INDEX(Employees!$F$4:$F$43,MATCH(C249,Employees!$B$4:$B$43,0)),0))</f>
        <v/>
      </c>
      <c r="L249" s="28"/>
    </row>
    <row r="250" customFormat="false" ht="15" hidden="false" customHeight="false" outlineLevel="0" collapsed="false">
      <c r="A250" s="26"/>
      <c r="B250" s="19" t="str">
        <f aca="false">IF(A250="","",A250+7-WEEKDAY(A250,1)+1)</f>
        <v/>
      </c>
      <c r="C250" s="28"/>
      <c r="D250" s="29"/>
      <c r="E250" s="28"/>
      <c r="F250" s="28"/>
      <c r="G250" s="30"/>
      <c r="H250" s="23" t="str">
        <f aca="false">IF(E250="","",IFERROR(INDEX(Lists!$C$2:$C$86,MATCH(E250,Lists!$A$2:$A$86,0)),"?"))</f>
        <v/>
      </c>
      <c r="I250" s="24" t="str">
        <f aca="false">IF(OR(C250="",E250=""),"",IF(H250="Yes",IFERROR(INDEX(Employees!$E$4:$E$43,MATCH(C250,Employees!$B$4:$B$43,0)),0),0))</f>
        <v/>
      </c>
      <c r="J250" s="25" t="str">
        <f aca="false">IF(G250="","",IF(H250="Yes",G250*I250,0))</f>
        <v/>
      </c>
      <c r="K250" s="25" t="str">
        <f aca="false">IF(OR(C250="",G250=""),"",G250*IFERROR(INDEX(Employees!$F$4:$F$43,MATCH(C250,Employees!$B$4:$B$43,0)),0))</f>
        <v/>
      </c>
      <c r="L250" s="28"/>
    </row>
    <row r="251" customFormat="false" ht="15" hidden="false" customHeight="false" outlineLevel="0" collapsed="false">
      <c r="A251" s="26"/>
      <c r="B251" s="27" t="str">
        <f aca="false">IF(A251="","",A251+7-WEEKDAY(A251,1)+1)</f>
        <v/>
      </c>
      <c r="C251" s="28"/>
      <c r="D251" s="29"/>
      <c r="E251" s="28"/>
      <c r="F251" s="28"/>
      <c r="G251" s="30"/>
      <c r="H251" s="31" t="str">
        <f aca="false">IF(E251="","",IFERROR(INDEX(Lists!$C$2:$C$86,MATCH(E251,Lists!$A$2:$A$86,0)),"?"))</f>
        <v/>
      </c>
      <c r="I251" s="32" t="str">
        <f aca="false">IF(OR(C251="",E251=""),"",IF(H251="Yes",IFERROR(INDEX(Employees!$E$4:$E$43,MATCH(C251,Employees!$B$4:$B$43,0)),0),0))</f>
        <v/>
      </c>
      <c r="J251" s="33" t="str">
        <f aca="false">IF(G251="","",IF(H251="Yes",G251*I251,0))</f>
        <v/>
      </c>
      <c r="K251" s="33" t="str">
        <f aca="false">IF(OR(C251="",G251=""),"",G251*IFERROR(INDEX(Employees!$F$4:$F$43,MATCH(C251,Employees!$B$4:$B$43,0)),0))</f>
        <v/>
      </c>
      <c r="L251" s="28"/>
    </row>
    <row r="252" customFormat="false" ht="15" hidden="false" customHeight="false" outlineLevel="0" collapsed="false">
      <c r="A252" s="26"/>
      <c r="B252" s="19" t="str">
        <f aca="false">IF(A252="","",A252+7-WEEKDAY(A252,1)+1)</f>
        <v/>
      </c>
      <c r="C252" s="28"/>
      <c r="D252" s="29"/>
      <c r="E252" s="28"/>
      <c r="F252" s="28"/>
      <c r="G252" s="30"/>
      <c r="H252" s="23" t="str">
        <f aca="false">IF(E252="","",IFERROR(INDEX(Lists!$C$2:$C$86,MATCH(E252,Lists!$A$2:$A$86,0)),"?"))</f>
        <v/>
      </c>
      <c r="I252" s="24" t="str">
        <f aca="false">IF(OR(C252="",E252=""),"",IF(H252="Yes",IFERROR(INDEX(Employees!$E$4:$E$43,MATCH(C252,Employees!$B$4:$B$43,0)),0),0))</f>
        <v/>
      </c>
      <c r="J252" s="25" t="str">
        <f aca="false">IF(G252="","",IF(H252="Yes",G252*I252,0))</f>
        <v/>
      </c>
      <c r="K252" s="25" t="str">
        <f aca="false">IF(OR(C252="",G252=""),"",G252*IFERROR(INDEX(Employees!$F$4:$F$43,MATCH(C252,Employees!$B$4:$B$43,0)),0))</f>
        <v/>
      </c>
      <c r="L252" s="28"/>
    </row>
    <row r="253" customFormat="false" ht="15" hidden="false" customHeight="false" outlineLevel="0" collapsed="false">
      <c r="A253" s="26"/>
      <c r="B253" s="27" t="str">
        <f aca="false">IF(A253="","",A253+7-WEEKDAY(A253,1)+1)</f>
        <v/>
      </c>
      <c r="C253" s="28"/>
      <c r="D253" s="29"/>
      <c r="E253" s="28"/>
      <c r="F253" s="28"/>
      <c r="G253" s="30"/>
      <c r="H253" s="31" t="str">
        <f aca="false">IF(E253="","",IFERROR(INDEX(Lists!$C$2:$C$86,MATCH(E253,Lists!$A$2:$A$86,0)),"?"))</f>
        <v/>
      </c>
      <c r="I253" s="32" t="str">
        <f aca="false">IF(OR(C253="",E253=""),"",IF(H253="Yes",IFERROR(INDEX(Employees!$E$4:$E$43,MATCH(C253,Employees!$B$4:$B$43,0)),0),0))</f>
        <v/>
      </c>
      <c r="J253" s="33" t="str">
        <f aca="false">IF(G253="","",IF(H253="Yes",G253*I253,0))</f>
        <v/>
      </c>
      <c r="K253" s="33" t="str">
        <f aca="false">IF(OR(C253="",G253=""),"",G253*IFERROR(INDEX(Employees!$F$4:$F$43,MATCH(C253,Employees!$B$4:$B$43,0)),0))</f>
        <v/>
      </c>
      <c r="L253" s="28"/>
    </row>
    <row r="254" customFormat="false" ht="15" hidden="false" customHeight="false" outlineLevel="0" collapsed="false">
      <c r="A254" s="26"/>
      <c r="B254" s="19" t="str">
        <f aca="false">IF(A254="","",A254+7-WEEKDAY(A254,1)+1)</f>
        <v/>
      </c>
      <c r="C254" s="28"/>
      <c r="D254" s="29"/>
      <c r="E254" s="28"/>
      <c r="F254" s="28"/>
      <c r="G254" s="30"/>
      <c r="H254" s="23" t="str">
        <f aca="false">IF(E254="","",IFERROR(INDEX(Lists!$C$2:$C$86,MATCH(E254,Lists!$A$2:$A$86,0)),"?"))</f>
        <v/>
      </c>
      <c r="I254" s="24" t="str">
        <f aca="false">IF(OR(C254="",E254=""),"",IF(H254="Yes",IFERROR(INDEX(Employees!$E$4:$E$43,MATCH(C254,Employees!$B$4:$B$43,0)),0),0))</f>
        <v/>
      </c>
      <c r="J254" s="25" t="str">
        <f aca="false">IF(G254="","",IF(H254="Yes",G254*I254,0))</f>
        <v/>
      </c>
      <c r="K254" s="25" t="str">
        <f aca="false">IF(OR(C254="",G254=""),"",G254*IFERROR(INDEX(Employees!$F$4:$F$43,MATCH(C254,Employees!$B$4:$B$43,0)),0))</f>
        <v/>
      </c>
      <c r="L254" s="28"/>
    </row>
    <row r="255" customFormat="false" ht="15" hidden="false" customHeight="false" outlineLevel="0" collapsed="false">
      <c r="A255" s="26"/>
      <c r="B255" s="27" t="str">
        <f aca="false">IF(A255="","",A255+7-WEEKDAY(A255,1)+1)</f>
        <v/>
      </c>
      <c r="C255" s="28"/>
      <c r="D255" s="29"/>
      <c r="E255" s="28"/>
      <c r="F255" s="28"/>
      <c r="G255" s="30"/>
      <c r="H255" s="31" t="str">
        <f aca="false">IF(E255="","",IFERROR(INDEX(Lists!$C$2:$C$86,MATCH(E255,Lists!$A$2:$A$86,0)),"?"))</f>
        <v/>
      </c>
      <c r="I255" s="32" t="str">
        <f aca="false">IF(OR(C255="",E255=""),"",IF(H255="Yes",IFERROR(INDEX(Employees!$E$4:$E$43,MATCH(C255,Employees!$B$4:$B$43,0)),0),0))</f>
        <v/>
      </c>
      <c r="J255" s="33" t="str">
        <f aca="false">IF(G255="","",IF(H255="Yes",G255*I255,0))</f>
        <v/>
      </c>
      <c r="K255" s="33" t="str">
        <f aca="false">IF(OR(C255="",G255=""),"",G255*IFERROR(INDEX(Employees!$F$4:$F$43,MATCH(C255,Employees!$B$4:$B$43,0)),0))</f>
        <v/>
      </c>
      <c r="L255" s="28"/>
    </row>
    <row r="256" customFormat="false" ht="15" hidden="false" customHeight="false" outlineLevel="0" collapsed="false">
      <c r="A256" s="26"/>
      <c r="B256" s="19" t="str">
        <f aca="false">IF(A256="","",A256+7-WEEKDAY(A256,1)+1)</f>
        <v/>
      </c>
      <c r="C256" s="28"/>
      <c r="D256" s="29"/>
      <c r="E256" s="28"/>
      <c r="F256" s="28"/>
      <c r="G256" s="30"/>
      <c r="H256" s="23" t="str">
        <f aca="false">IF(E256="","",IFERROR(INDEX(Lists!$C$2:$C$86,MATCH(E256,Lists!$A$2:$A$86,0)),"?"))</f>
        <v/>
      </c>
      <c r="I256" s="24" t="str">
        <f aca="false">IF(OR(C256="",E256=""),"",IF(H256="Yes",IFERROR(INDEX(Employees!$E$4:$E$43,MATCH(C256,Employees!$B$4:$B$43,0)),0),0))</f>
        <v/>
      </c>
      <c r="J256" s="25" t="str">
        <f aca="false">IF(G256="","",IF(H256="Yes",G256*I256,0))</f>
        <v/>
      </c>
      <c r="K256" s="25" t="str">
        <f aca="false">IF(OR(C256="",G256=""),"",G256*IFERROR(INDEX(Employees!$F$4:$F$43,MATCH(C256,Employees!$B$4:$B$43,0)),0))</f>
        <v/>
      </c>
      <c r="L256" s="28"/>
    </row>
    <row r="257" customFormat="false" ht="15" hidden="false" customHeight="false" outlineLevel="0" collapsed="false">
      <c r="A257" s="26"/>
      <c r="B257" s="27" t="str">
        <f aca="false">IF(A257="","",A257+7-WEEKDAY(A257,1)+1)</f>
        <v/>
      </c>
      <c r="C257" s="28"/>
      <c r="D257" s="29"/>
      <c r="E257" s="28"/>
      <c r="F257" s="28"/>
      <c r="G257" s="30"/>
      <c r="H257" s="31" t="str">
        <f aca="false">IF(E257="","",IFERROR(INDEX(Lists!$C$2:$C$86,MATCH(E257,Lists!$A$2:$A$86,0)),"?"))</f>
        <v/>
      </c>
      <c r="I257" s="32" t="str">
        <f aca="false">IF(OR(C257="",E257=""),"",IF(H257="Yes",IFERROR(INDEX(Employees!$E$4:$E$43,MATCH(C257,Employees!$B$4:$B$43,0)),0),0))</f>
        <v/>
      </c>
      <c r="J257" s="33" t="str">
        <f aca="false">IF(G257="","",IF(H257="Yes",G257*I257,0))</f>
        <v/>
      </c>
      <c r="K257" s="33" t="str">
        <f aca="false">IF(OR(C257="",G257=""),"",G257*IFERROR(INDEX(Employees!$F$4:$F$43,MATCH(C257,Employees!$B$4:$B$43,0)),0))</f>
        <v/>
      </c>
      <c r="L257" s="28"/>
    </row>
    <row r="258" customFormat="false" ht="15" hidden="false" customHeight="false" outlineLevel="0" collapsed="false">
      <c r="A258" s="26"/>
      <c r="B258" s="19" t="str">
        <f aca="false">IF(A258="","",A258+7-WEEKDAY(A258,1)+1)</f>
        <v/>
      </c>
      <c r="C258" s="28"/>
      <c r="D258" s="29"/>
      <c r="E258" s="28"/>
      <c r="F258" s="28"/>
      <c r="G258" s="30"/>
      <c r="H258" s="23" t="str">
        <f aca="false">IF(E258="","",IFERROR(INDEX(Lists!$C$2:$C$86,MATCH(E258,Lists!$A$2:$A$86,0)),"?"))</f>
        <v/>
      </c>
      <c r="I258" s="24" t="str">
        <f aca="false">IF(OR(C258="",E258=""),"",IF(H258="Yes",IFERROR(INDEX(Employees!$E$4:$E$43,MATCH(C258,Employees!$B$4:$B$43,0)),0),0))</f>
        <v/>
      </c>
      <c r="J258" s="25" t="str">
        <f aca="false">IF(G258="","",IF(H258="Yes",G258*I258,0))</f>
        <v/>
      </c>
      <c r="K258" s="25" t="str">
        <f aca="false">IF(OR(C258="",G258=""),"",G258*IFERROR(INDEX(Employees!$F$4:$F$43,MATCH(C258,Employees!$B$4:$B$43,0)),0))</f>
        <v/>
      </c>
      <c r="L258" s="28"/>
    </row>
    <row r="259" customFormat="false" ht="15" hidden="false" customHeight="false" outlineLevel="0" collapsed="false">
      <c r="A259" s="26"/>
      <c r="B259" s="27" t="str">
        <f aca="false">IF(A259="","",A259+7-WEEKDAY(A259,1)+1)</f>
        <v/>
      </c>
      <c r="C259" s="28"/>
      <c r="D259" s="29"/>
      <c r="E259" s="28"/>
      <c r="F259" s="28"/>
      <c r="G259" s="30"/>
      <c r="H259" s="31" t="str">
        <f aca="false">IF(E259="","",IFERROR(INDEX(Lists!$C$2:$C$86,MATCH(E259,Lists!$A$2:$A$86,0)),"?"))</f>
        <v/>
      </c>
      <c r="I259" s="32" t="str">
        <f aca="false">IF(OR(C259="",E259=""),"",IF(H259="Yes",IFERROR(INDEX(Employees!$E$4:$E$43,MATCH(C259,Employees!$B$4:$B$43,0)),0),0))</f>
        <v/>
      </c>
      <c r="J259" s="33" t="str">
        <f aca="false">IF(G259="","",IF(H259="Yes",G259*I259,0))</f>
        <v/>
      </c>
      <c r="K259" s="33" t="str">
        <f aca="false">IF(OR(C259="",G259=""),"",G259*IFERROR(INDEX(Employees!$F$4:$F$43,MATCH(C259,Employees!$B$4:$B$43,0)),0))</f>
        <v/>
      </c>
      <c r="L259" s="28"/>
    </row>
    <row r="260" customFormat="false" ht="15" hidden="false" customHeight="false" outlineLevel="0" collapsed="false">
      <c r="A260" s="26"/>
      <c r="B260" s="19" t="str">
        <f aca="false">IF(A260="","",A260+7-WEEKDAY(A260,1)+1)</f>
        <v/>
      </c>
      <c r="C260" s="28"/>
      <c r="D260" s="29"/>
      <c r="E260" s="28"/>
      <c r="F260" s="28"/>
      <c r="G260" s="30"/>
      <c r="H260" s="23" t="str">
        <f aca="false">IF(E260="","",IFERROR(INDEX(Lists!$C$2:$C$86,MATCH(E260,Lists!$A$2:$A$86,0)),"?"))</f>
        <v/>
      </c>
      <c r="I260" s="24" t="str">
        <f aca="false">IF(OR(C260="",E260=""),"",IF(H260="Yes",IFERROR(INDEX(Employees!$E$4:$E$43,MATCH(C260,Employees!$B$4:$B$43,0)),0),0))</f>
        <v/>
      </c>
      <c r="J260" s="25" t="str">
        <f aca="false">IF(G260="","",IF(H260="Yes",G260*I260,0))</f>
        <v/>
      </c>
      <c r="K260" s="25" t="str">
        <f aca="false">IF(OR(C260="",G260=""),"",G260*IFERROR(INDEX(Employees!$F$4:$F$43,MATCH(C260,Employees!$B$4:$B$43,0)),0))</f>
        <v/>
      </c>
      <c r="L260" s="28"/>
    </row>
    <row r="261" customFormat="false" ht="15" hidden="false" customHeight="false" outlineLevel="0" collapsed="false">
      <c r="A261" s="26"/>
      <c r="B261" s="27" t="str">
        <f aca="false">IF(A261="","",A261+7-WEEKDAY(A261,1)+1)</f>
        <v/>
      </c>
      <c r="C261" s="28"/>
      <c r="D261" s="29"/>
      <c r="E261" s="28"/>
      <c r="F261" s="28"/>
      <c r="G261" s="30"/>
      <c r="H261" s="31" t="str">
        <f aca="false">IF(E261="","",IFERROR(INDEX(Lists!$C$2:$C$86,MATCH(E261,Lists!$A$2:$A$86,0)),"?"))</f>
        <v/>
      </c>
      <c r="I261" s="32" t="str">
        <f aca="false">IF(OR(C261="",E261=""),"",IF(H261="Yes",IFERROR(INDEX(Employees!$E$4:$E$43,MATCH(C261,Employees!$B$4:$B$43,0)),0),0))</f>
        <v/>
      </c>
      <c r="J261" s="33" t="str">
        <f aca="false">IF(G261="","",IF(H261="Yes",G261*I261,0))</f>
        <v/>
      </c>
      <c r="K261" s="33" t="str">
        <f aca="false">IF(OR(C261="",G261=""),"",G261*IFERROR(INDEX(Employees!$F$4:$F$43,MATCH(C261,Employees!$B$4:$B$43,0)),0))</f>
        <v/>
      </c>
      <c r="L261" s="28"/>
    </row>
    <row r="262" customFormat="false" ht="15" hidden="false" customHeight="false" outlineLevel="0" collapsed="false">
      <c r="A262" s="26"/>
      <c r="B262" s="19" t="str">
        <f aca="false">IF(A262="","",A262+7-WEEKDAY(A262,1)+1)</f>
        <v/>
      </c>
      <c r="C262" s="28"/>
      <c r="D262" s="29"/>
      <c r="E262" s="28"/>
      <c r="F262" s="28"/>
      <c r="G262" s="30"/>
      <c r="H262" s="23" t="str">
        <f aca="false">IF(E262="","",IFERROR(INDEX(Lists!$C$2:$C$86,MATCH(E262,Lists!$A$2:$A$86,0)),"?"))</f>
        <v/>
      </c>
      <c r="I262" s="24" t="str">
        <f aca="false">IF(OR(C262="",E262=""),"",IF(H262="Yes",IFERROR(INDEX(Employees!$E$4:$E$43,MATCH(C262,Employees!$B$4:$B$43,0)),0),0))</f>
        <v/>
      </c>
      <c r="J262" s="25" t="str">
        <f aca="false">IF(G262="","",IF(H262="Yes",G262*I262,0))</f>
        <v/>
      </c>
      <c r="K262" s="25" t="str">
        <f aca="false">IF(OR(C262="",G262=""),"",G262*IFERROR(INDEX(Employees!$F$4:$F$43,MATCH(C262,Employees!$B$4:$B$43,0)),0))</f>
        <v/>
      </c>
      <c r="L262" s="28"/>
    </row>
    <row r="263" customFormat="false" ht="15" hidden="false" customHeight="false" outlineLevel="0" collapsed="false">
      <c r="A263" s="26"/>
      <c r="B263" s="27" t="str">
        <f aca="false">IF(A263="","",A263+7-WEEKDAY(A263,1)+1)</f>
        <v/>
      </c>
      <c r="C263" s="28"/>
      <c r="D263" s="29"/>
      <c r="E263" s="28"/>
      <c r="F263" s="28"/>
      <c r="G263" s="30"/>
      <c r="H263" s="31" t="str">
        <f aca="false">IF(E263="","",IFERROR(INDEX(Lists!$C$2:$C$86,MATCH(E263,Lists!$A$2:$A$86,0)),"?"))</f>
        <v/>
      </c>
      <c r="I263" s="32" t="str">
        <f aca="false">IF(OR(C263="",E263=""),"",IF(H263="Yes",IFERROR(INDEX(Employees!$E$4:$E$43,MATCH(C263,Employees!$B$4:$B$43,0)),0),0))</f>
        <v/>
      </c>
      <c r="J263" s="33" t="str">
        <f aca="false">IF(G263="","",IF(H263="Yes",G263*I263,0))</f>
        <v/>
      </c>
      <c r="K263" s="33" t="str">
        <f aca="false">IF(OR(C263="",G263=""),"",G263*IFERROR(INDEX(Employees!$F$4:$F$43,MATCH(C263,Employees!$B$4:$B$43,0)),0))</f>
        <v/>
      </c>
      <c r="L263" s="28"/>
    </row>
    <row r="264" customFormat="false" ht="15" hidden="false" customHeight="false" outlineLevel="0" collapsed="false">
      <c r="A264" s="26"/>
      <c r="B264" s="19" t="str">
        <f aca="false">IF(A264="","",A264+7-WEEKDAY(A264,1)+1)</f>
        <v/>
      </c>
      <c r="C264" s="28"/>
      <c r="D264" s="29"/>
      <c r="E264" s="28"/>
      <c r="F264" s="28"/>
      <c r="G264" s="30"/>
      <c r="H264" s="23" t="str">
        <f aca="false">IF(E264="","",IFERROR(INDEX(Lists!$C$2:$C$86,MATCH(E264,Lists!$A$2:$A$86,0)),"?"))</f>
        <v/>
      </c>
      <c r="I264" s="24" t="str">
        <f aca="false">IF(OR(C264="",E264=""),"",IF(H264="Yes",IFERROR(INDEX(Employees!$E$4:$E$43,MATCH(C264,Employees!$B$4:$B$43,0)),0),0))</f>
        <v/>
      </c>
      <c r="J264" s="25" t="str">
        <f aca="false">IF(G264="","",IF(H264="Yes",G264*I264,0))</f>
        <v/>
      </c>
      <c r="K264" s="25" t="str">
        <f aca="false">IF(OR(C264="",G264=""),"",G264*IFERROR(INDEX(Employees!$F$4:$F$43,MATCH(C264,Employees!$B$4:$B$43,0)),0))</f>
        <v/>
      </c>
      <c r="L264" s="28"/>
    </row>
    <row r="265" customFormat="false" ht="15" hidden="false" customHeight="false" outlineLevel="0" collapsed="false">
      <c r="A265" s="26"/>
      <c r="B265" s="27" t="str">
        <f aca="false">IF(A265="","",A265+7-WEEKDAY(A265,1)+1)</f>
        <v/>
      </c>
      <c r="C265" s="28"/>
      <c r="D265" s="29"/>
      <c r="E265" s="28"/>
      <c r="F265" s="28"/>
      <c r="G265" s="30"/>
      <c r="H265" s="31" t="str">
        <f aca="false">IF(E265="","",IFERROR(INDEX(Lists!$C$2:$C$86,MATCH(E265,Lists!$A$2:$A$86,0)),"?"))</f>
        <v/>
      </c>
      <c r="I265" s="32" t="str">
        <f aca="false">IF(OR(C265="",E265=""),"",IF(H265="Yes",IFERROR(INDEX(Employees!$E$4:$E$43,MATCH(C265,Employees!$B$4:$B$43,0)),0),0))</f>
        <v/>
      </c>
      <c r="J265" s="33" t="str">
        <f aca="false">IF(G265="","",IF(H265="Yes",G265*I265,0))</f>
        <v/>
      </c>
      <c r="K265" s="33" t="str">
        <f aca="false">IF(OR(C265="",G265=""),"",G265*IFERROR(INDEX(Employees!$F$4:$F$43,MATCH(C265,Employees!$B$4:$B$43,0)),0))</f>
        <v/>
      </c>
      <c r="L265" s="28"/>
    </row>
    <row r="266" customFormat="false" ht="15" hidden="false" customHeight="false" outlineLevel="0" collapsed="false">
      <c r="A266" s="26"/>
      <c r="B266" s="19" t="str">
        <f aca="false">IF(A266="","",A266+7-WEEKDAY(A266,1)+1)</f>
        <v/>
      </c>
      <c r="C266" s="28"/>
      <c r="D266" s="29"/>
      <c r="E266" s="28"/>
      <c r="F266" s="28"/>
      <c r="G266" s="30"/>
      <c r="H266" s="23" t="str">
        <f aca="false">IF(E266="","",IFERROR(INDEX(Lists!$C$2:$C$86,MATCH(E266,Lists!$A$2:$A$86,0)),"?"))</f>
        <v/>
      </c>
      <c r="I266" s="24" t="str">
        <f aca="false">IF(OR(C266="",E266=""),"",IF(H266="Yes",IFERROR(INDEX(Employees!$E$4:$E$43,MATCH(C266,Employees!$B$4:$B$43,0)),0),0))</f>
        <v/>
      </c>
      <c r="J266" s="25" t="str">
        <f aca="false">IF(G266="","",IF(H266="Yes",G266*I266,0))</f>
        <v/>
      </c>
      <c r="K266" s="25" t="str">
        <f aca="false">IF(OR(C266="",G266=""),"",G266*IFERROR(INDEX(Employees!$F$4:$F$43,MATCH(C266,Employees!$B$4:$B$43,0)),0))</f>
        <v/>
      </c>
      <c r="L266" s="28"/>
    </row>
    <row r="267" customFormat="false" ht="15" hidden="false" customHeight="false" outlineLevel="0" collapsed="false">
      <c r="A267" s="26"/>
      <c r="B267" s="27" t="str">
        <f aca="false">IF(A267="","",A267+7-WEEKDAY(A267,1)+1)</f>
        <v/>
      </c>
      <c r="C267" s="28"/>
      <c r="D267" s="29"/>
      <c r="E267" s="28"/>
      <c r="F267" s="28"/>
      <c r="G267" s="30"/>
      <c r="H267" s="31" t="str">
        <f aca="false">IF(E267="","",IFERROR(INDEX(Lists!$C$2:$C$86,MATCH(E267,Lists!$A$2:$A$86,0)),"?"))</f>
        <v/>
      </c>
      <c r="I267" s="32" t="str">
        <f aca="false">IF(OR(C267="",E267=""),"",IF(H267="Yes",IFERROR(INDEX(Employees!$E$4:$E$43,MATCH(C267,Employees!$B$4:$B$43,0)),0),0))</f>
        <v/>
      </c>
      <c r="J267" s="33" t="str">
        <f aca="false">IF(G267="","",IF(H267="Yes",G267*I267,0))</f>
        <v/>
      </c>
      <c r="K267" s="33" t="str">
        <f aca="false">IF(OR(C267="",G267=""),"",G267*IFERROR(INDEX(Employees!$F$4:$F$43,MATCH(C267,Employees!$B$4:$B$43,0)),0))</f>
        <v/>
      </c>
      <c r="L267" s="28"/>
    </row>
    <row r="268" customFormat="false" ht="15" hidden="false" customHeight="false" outlineLevel="0" collapsed="false">
      <c r="A268" s="26"/>
      <c r="B268" s="19" t="str">
        <f aca="false">IF(A268="","",A268+7-WEEKDAY(A268,1)+1)</f>
        <v/>
      </c>
      <c r="C268" s="28"/>
      <c r="D268" s="29"/>
      <c r="E268" s="28"/>
      <c r="F268" s="28"/>
      <c r="G268" s="30"/>
      <c r="H268" s="23" t="str">
        <f aca="false">IF(E268="","",IFERROR(INDEX(Lists!$C$2:$C$86,MATCH(E268,Lists!$A$2:$A$86,0)),"?"))</f>
        <v/>
      </c>
      <c r="I268" s="24" t="str">
        <f aca="false">IF(OR(C268="",E268=""),"",IF(H268="Yes",IFERROR(INDEX(Employees!$E$4:$E$43,MATCH(C268,Employees!$B$4:$B$43,0)),0),0))</f>
        <v/>
      </c>
      <c r="J268" s="25" t="str">
        <f aca="false">IF(G268="","",IF(H268="Yes",G268*I268,0))</f>
        <v/>
      </c>
      <c r="K268" s="25" t="str">
        <f aca="false">IF(OR(C268="",G268=""),"",G268*IFERROR(INDEX(Employees!$F$4:$F$43,MATCH(C268,Employees!$B$4:$B$43,0)),0))</f>
        <v/>
      </c>
      <c r="L268" s="28"/>
    </row>
    <row r="269" customFormat="false" ht="15" hidden="false" customHeight="false" outlineLevel="0" collapsed="false">
      <c r="A269" s="26"/>
      <c r="B269" s="27" t="str">
        <f aca="false">IF(A269="","",A269+7-WEEKDAY(A269,1)+1)</f>
        <v/>
      </c>
      <c r="C269" s="28"/>
      <c r="D269" s="29"/>
      <c r="E269" s="28"/>
      <c r="F269" s="28"/>
      <c r="G269" s="30"/>
      <c r="H269" s="31" t="str">
        <f aca="false">IF(E269="","",IFERROR(INDEX(Lists!$C$2:$C$86,MATCH(E269,Lists!$A$2:$A$86,0)),"?"))</f>
        <v/>
      </c>
      <c r="I269" s="32" t="str">
        <f aca="false">IF(OR(C269="",E269=""),"",IF(H269="Yes",IFERROR(INDEX(Employees!$E$4:$E$43,MATCH(C269,Employees!$B$4:$B$43,0)),0),0))</f>
        <v/>
      </c>
      <c r="J269" s="33" t="str">
        <f aca="false">IF(G269="","",IF(H269="Yes",G269*I269,0))</f>
        <v/>
      </c>
      <c r="K269" s="33" t="str">
        <f aca="false">IF(OR(C269="",G269=""),"",G269*IFERROR(INDEX(Employees!$F$4:$F$43,MATCH(C269,Employees!$B$4:$B$43,0)),0))</f>
        <v/>
      </c>
      <c r="L269" s="28"/>
    </row>
    <row r="270" customFormat="false" ht="15" hidden="false" customHeight="false" outlineLevel="0" collapsed="false">
      <c r="A270" s="26"/>
      <c r="B270" s="19" t="str">
        <f aca="false">IF(A270="","",A270+7-WEEKDAY(A270,1)+1)</f>
        <v/>
      </c>
      <c r="C270" s="28"/>
      <c r="D270" s="29"/>
      <c r="E270" s="28"/>
      <c r="F270" s="28"/>
      <c r="G270" s="30"/>
      <c r="H270" s="23" t="str">
        <f aca="false">IF(E270="","",IFERROR(INDEX(Lists!$C$2:$C$86,MATCH(E270,Lists!$A$2:$A$86,0)),"?"))</f>
        <v/>
      </c>
      <c r="I270" s="24" t="str">
        <f aca="false">IF(OR(C270="",E270=""),"",IF(H270="Yes",IFERROR(INDEX(Employees!$E$4:$E$43,MATCH(C270,Employees!$B$4:$B$43,0)),0),0))</f>
        <v/>
      </c>
      <c r="J270" s="25" t="str">
        <f aca="false">IF(G270="","",IF(H270="Yes",G270*I270,0))</f>
        <v/>
      </c>
      <c r="K270" s="25" t="str">
        <f aca="false">IF(OR(C270="",G270=""),"",G270*IFERROR(INDEX(Employees!$F$4:$F$43,MATCH(C270,Employees!$B$4:$B$43,0)),0))</f>
        <v/>
      </c>
      <c r="L270" s="28"/>
    </row>
    <row r="271" customFormat="false" ht="15" hidden="false" customHeight="false" outlineLevel="0" collapsed="false">
      <c r="A271" s="26"/>
      <c r="B271" s="27" t="str">
        <f aca="false">IF(A271="","",A271+7-WEEKDAY(A271,1)+1)</f>
        <v/>
      </c>
      <c r="C271" s="28"/>
      <c r="D271" s="29"/>
      <c r="E271" s="28"/>
      <c r="F271" s="28"/>
      <c r="G271" s="30"/>
      <c r="H271" s="31" t="str">
        <f aca="false">IF(E271="","",IFERROR(INDEX(Lists!$C$2:$C$86,MATCH(E271,Lists!$A$2:$A$86,0)),"?"))</f>
        <v/>
      </c>
      <c r="I271" s="32" t="str">
        <f aca="false">IF(OR(C271="",E271=""),"",IF(H271="Yes",IFERROR(INDEX(Employees!$E$4:$E$43,MATCH(C271,Employees!$B$4:$B$43,0)),0),0))</f>
        <v/>
      </c>
      <c r="J271" s="33" t="str">
        <f aca="false">IF(G271="","",IF(H271="Yes",G271*I271,0))</f>
        <v/>
      </c>
      <c r="K271" s="33" t="str">
        <f aca="false">IF(OR(C271="",G271=""),"",G271*IFERROR(INDEX(Employees!$F$4:$F$43,MATCH(C271,Employees!$B$4:$B$43,0)),0))</f>
        <v/>
      </c>
      <c r="L271" s="28"/>
    </row>
    <row r="272" customFormat="false" ht="15" hidden="false" customHeight="false" outlineLevel="0" collapsed="false">
      <c r="A272" s="26"/>
      <c r="B272" s="19" t="str">
        <f aca="false">IF(A272="","",A272+7-WEEKDAY(A272,1)+1)</f>
        <v/>
      </c>
      <c r="C272" s="28"/>
      <c r="D272" s="29"/>
      <c r="E272" s="28"/>
      <c r="F272" s="28"/>
      <c r="G272" s="30"/>
      <c r="H272" s="23" t="str">
        <f aca="false">IF(E272="","",IFERROR(INDEX(Lists!$C$2:$C$86,MATCH(E272,Lists!$A$2:$A$86,0)),"?"))</f>
        <v/>
      </c>
      <c r="I272" s="24" t="str">
        <f aca="false">IF(OR(C272="",E272=""),"",IF(H272="Yes",IFERROR(INDEX(Employees!$E$4:$E$43,MATCH(C272,Employees!$B$4:$B$43,0)),0),0))</f>
        <v/>
      </c>
      <c r="J272" s="25" t="str">
        <f aca="false">IF(G272="","",IF(H272="Yes",G272*I272,0))</f>
        <v/>
      </c>
      <c r="K272" s="25" t="str">
        <f aca="false">IF(OR(C272="",G272=""),"",G272*IFERROR(INDEX(Employees!$F$4:$F$43,MATCH(C272,Employees!$B$4:$B$43,0)),0))</f>
        <v/>
      </c>
      <c r="L272" s="28"/>
    </row>
    <row r="273" customFormat="false" ht="15" hidden="false" customHeight="false" outlineLevel="0" collapsed="false">
      <c r="A273" s="26"/>
      <c r="B273" s="27" t="str">
        <f aca="false">IF(A273="","",A273+7-WEEKDAY(A273,1)+1)</f>
        <v/>
      </c>
      <c r="C273" s="28"/>
      <c r="D273" s="29"/>
      <c r="E273" s="28"/>
      <c r="F273" s="28"/>
      <c r="G273" s="30"/>
      <c r="H273" s="31" t="str">
        <f aca="false">IF(E273="","",IFERROR(INDEX(Lists!$C$2:$C$86,MATCH(E273,Lists!$A$2:$A$86,0)),"?"))</f>
        <v/>
      </c>
      <c r="I273" s="32" t="str">
        <f aca="false">IF(OR(C273="",E273=""),"",IF(H273="Yes",IFERROR(INDEX(Employees!$E$4:$E$43,MATCH(C273,Employees!$B$4:$B$43,0)),0),0))</f>
        <v/>
      </c>
      <c r="J273" s="33" t="str">
        <f aca="false">IF(G273="","",IF(H273="Yes",G273*I273,0))</f>
        <v/>
      </c>
      <c r="K273" s="33" t="str">
        <f aca="false">IF(OR(C273="",G273=""),"",G273*IFERROR(INDEX(Employees!$F$4:$F$43,MATCH(C273,Employees!$B$4:$B$43,0)),0))</f>
        <v/>
      </c>
      <c r="L273" s="28"/>
    </row>
    <row r="274" customFormat="false" ht="15" hidden="false" customHeight="false" outlineLevel="0" collapsed="false">
      <c r="A274" s="26"/>
      <c r="B274" s="19" t="str">
        <f aca="false">IF(A274="","",A274+7-WEEKDAY(A274,1)+1)</f>
        <v/>
      </c>
      <c r="C274" s="28"/>
      <c r="D274" s="29"/>
      <c r="E274" s="28"/>
      <c r="F274" s="28"/>
      <c r="G274" s="30"/>
      <c r="H274" s="23" t="str">
        <f aca="false">IF(E274="","",IFERROR(INDEX(Lists!$C$2:$C$86,MATCH(E274,Lists!$A$2:$A$86,0)),"?"))</f>
        <v/>
      </c>
      <c r="I274" s="24" t="str">
        <f aca="false">IF(OR(C274="",E274=""),"",IF(H274="Yes",IFERROR(INDEX(Employees!$E$4:$E$43,MATCH(C274,Employees!$B$4:$B$43,0)),0),0))</f>
        <v/>
      </c>
      <c r="J274" s="25" t="str">
        <f aca="false">IF(G274="","",IF(H274="Yes",G274*I274,0))</f>
        <v/>
      </c>
      <c r="K274" s="25" t="str">
        <f aca="false">IF(OR(C274="",G274=""),"",G274*IFERROR(INDEX(Employees!$F$4:$F$43,MATCH(C274,Employees!$B$4:$B$43,0)),0))</f>
        <v/>
      </c>
      <c r="L274" s="28"/>
    </row>
    <row r="275" customFormat="false" ht="15" hidden="false" customHeight="false" outlineLevel="0" collapsed="false">
      <c r="A275" s="26"/>
      <c r="B275" s="27" t="str">
        <f aca="false">IF(A275="","",A275+7-WEEKDAY(A275,1)+1)</f>
        <v/>
      </c>
      <c r="C275" s="28"/>
      <c r="D275" s="29"/>
      <c r="E275" s="28"/>
      <c r="F275" s="28"/>
      <c r="G275" s="30"/>
      <c r="H275" s="31" t="str">
        <f aca="false">IF(E275="","",IFERROR(INDEX(Lists!$C$2:$C$86,MATCH(E275,Lists!$A$2:$A$86,0)),"?"))</f>
        <v/>
      </c>
      <c r="I275" s="32" t="str">
        <f aca="false">IF(OR(C275="",E275=""),"",IF(H275="Yes",IFERROR(INDEX(Employees!$E$4:$E$43,MATCH(C275,Employees!$B$4:$B$43,0)),0),0))</f>
        <v/>
      </c>
      <c r="J275" s="33" t="str">
        <f aca="false">IF(G275="","",IF(H275="Yes",G275*I275,0))</f>
        <v/>
      </c>
      <c r="K275" s="33" t="str">
        <f aca="false">IF(OR(C275="",G275=""),"",G275*IFERROR(INDEX(Employees!$F$4:$F$43,MATCH(C275,Employees!$B$4:$B$43,0)),0))</f>
        <v/>
      </c>
      <c r="L275" s="28"/>
    </row>
    <row r="276" customFormat="false" ht="15" hidden="false" customHeight="false" outlineLevel="0" collapsed="false">
      <c r="A276" s="26"/>
      <c r="B276" s="19" t="str">
        <f aca="false">IF(A276="","",A276+7-WEEKDAY(A276,1)+1)</f>
        <v/>
      </c>
      <c r="C276" s="28"/>
      <c r="D276" s="29"/>
      <c r="E276" s="28"/>
      <c r="F276" s="28"/>
      <c r="G276" s="30"/>
      <c r="H276" s="23" t="str">
        <f aca="false">IF(E276="","",IFERROR(INDEX(Lists!$C$2:$C$86,MATCH(E276,Lists!$A$2:$A$86,0)),"?"))</f>
        <v/>
      </c>
      <c r="I276" s="24" t="str">
        <f aca="false">IF(OR(C276="",E276=""),"",IF(H276="Yes",IFERROR(INDEX(Employees!$E$4:$E$43,MATCH(C276,Employees!$B$4:$B$43,0)),0),0))</f>
        <v/>
      </c>
      <c r="J276" s="25" t="str">
        <f aca="false">IF(G276="","",IF(H276="Yes",G276*I276,0))</f>
        <v/>
      </c>
      <c r="K276" s="25" t="str">
        <f aca="false">IF(OR(C276="",G276=""),"",G276*IFERROR(INDEX(Employees!$F$4:$F$43,MATCH(C276,Employees!$B$4:$B$43,0)),0))</f>
        <v/>
      </c>
      <c r="L276" s="28"/>
    </row>
    <row r="277" customFormat="false" ht="15" hidden="false" customHeight="false" outlineLevel="0" collapsed="false">
      <c r="A277" s="26"/>
      <c r="B277" s="27" t="str">
        <f aca="false">IF(A277="","",A277+7-WEEKDAY(A277,1)+1)</f>
        <v/>
      </c>
      <c r="C277" s="28"/>
      <c r="D277" s="29"/>
      <c r="E277" s="28"/>
      <c r="F277" s="28"/>
      <c r="G277" s="30"/>
      <c r="H277" s="31" t="str">
        <f aca="false">IF(E277="","",IFERROR(INDEX(Lists!$C$2:$C$86,MATCH(E277,Lists!$A$2:$A$86,0)),"?"))</f>
        <v/>
      </c>
      <c r="I277" s="32" t="str">
        <f aca="false">IF(OR(C277="",E277=""),"",IF(H277="Yes",IFERROR(INDEX(Employees!$E$4:$E$43,MATCH(C277,Employees!$B$4:$B$43,0)),0),0))</f>
        <v/>
      </c>
      <c r="J277" s="33" t="str">
        <f aca="false">IF(G277="","",IF(H277="Yes",G277*I277,0))</f>
        <v/>
      </c>
      <c r="K277" s="33" t="str">
        <f aca="false">IF(OR(C277="",G277=""),"",G277*IFERROR(INDEX(Employees!$F$4:$F$43,MATCH(C277,Employees!$B$4:$B$43,0)),0))</f>
        <v/>
      </c>
      <c r="L277" s="28"/>
    </row>
    <row r="278" customFormat="false" ht="15" hidden="false" customHeight="false" outlineLevel="0" collapsed="false">
      <c r="A278" s="26"/>
      <c r="B278" s="19" t="str">
        <f aca="false">IF(A278="","",A278+7-WEEKDAY(A278,1)+1)</f>
        <v/>
      </c>
      <c r="C278" s="28"/>
      <c r="D278" s="29"/>
      <c r="E278" s="28"/>
      <c r="F278" s="28"/>
      <c r="G278" s="30"/>
      <c r="H278" s="23" t="str">
        <f aca="false">IF(E278="","",IFERROR(INDEX(Lists!$C$2:$C$86,MATCH(E278,Lists!$A$2:$A$86,0)),"?"))</f>
        <v/>
      </c>
      <c r="I278" s="24" t="str">
        <f aca="false">IF(OR(C278="",E278=""),"",IF(H278="Yes",IFERROR(INDEX(Employees!$E$4:$E$43,MATCH(C278,Employees!$B$4:$B$43,0)),0),0))</f>
        <v/>
      </c>
      <c r="J278" s="25" t="str">
        <f aca="false">IF(G278="","",IF(H278="Yes",G278*I278,0))</f>
        <v/>
      </c>
      <c r="K278" s="25" t="str">
        <f aca="false">IF(OR(C278="",G278=""),"",G278*IFERROR(INDEX(Employees!$F$4:$F$43,MATCH(C278,Employees!$B$4:$B$43,0)),0))</f>
        <v/>
      </c>
      <c r="L278" s="28"/>
    </row>
    <row r="279" customFormat="false" ht="15" hidden="false" customHeight="false" outlineLevel="0" collapsed="false">
      <c r="A279" s="26"/>
      <c r="B279" s="27" t="str">
        <f aca="false">IF(A279="","",A279+7-WEEKDAY(A279,1)+1)</f>
        <v/>
      </c>
      <c r="C279" s="28"/>
      <c r="D279" s="29"/>
      <c r="E279" s="28"/>
      <c r="F279" s="28"/>
      <c r="G279" s="30"/>
      <c r="H279" s="31" t="str">
        <f aca="false">IF(E279="","",IFERROR(INDEX(Lists!$C$2:$C$86,MATCH(E279,Lists!$A$2:$A$86,0)),"?"))</f>
        <v/>
      </c>
      <c r="I279" s="32" t="str">
        <f aca="false">IF(OR(C279="",E279=""),"",IF(H279="Yes",IFERROR(INDEX(Employees!$E$4:$E$43,MATCH(C279,Employees!$B$4:$B$43,0)),0),0))</f>
        <v/>
      </c>
      <c r="J279" s="33" t="str">
        <f aca="false">IF(G279="","",IF(H279="Yes",G279*I279,0))</f>
        <v/>
      </c>
      <c r="K279" s="33" t="str">
        <f aca="false">IF(OR(C279="",G279=""),"",G279*IFERROR(INDEX(Employees!$F$4:$F$43,MATCH(C279,Employees!$B$4:$B$43,0)),0))</f>
        <v/>
      </c>
      <c r="L279" s="28"/>
    </row>
    <row r="280" customFormat="false" ht="15" hidden="false" customHeight="false" outlineLevel="0" collapsed="false">
      <c r="A280" s="26"/>
      <c r="B280" s="19" t="str">
        <f aca="false">IF(A280="","",A280+7-WEEKDAY(A280,1)+1)</f>
        <v/>
      </c>
      <c r="C280" s="28"/>
      <c r="D280" s="29"/>
      <c r="E280" s="28"/>
      <c r="F280" s="28"/>
      <c r="G280" s="30"/>
      <c r="H280" s="23" t="str">
        <f aca="false">IF(E280="","",IFERROR(INDEX(Lists!$C$2:$C$86,MATCH(E280,Lists!$A$2:$A$86,0)),"?"))</f>
        <v/>
      </c>
      <c r="I280" s="24" t="str">
        <f aca="false">IF(OR(C280="",E280=""),"",IF(H280="Yes",IFERROR(INDEX(Employees!$E$4:$E$43,MATCH(C280,Employees!$B$4:$B$43,0)),0),0))</f>
        <v/>
      </c>
      <c r="J280" s="25" t="str">
        <f aca="false">IF(G280="","",IF(H280="Yes",G280*I280,0))</f>
        <v/>
      </c>
      <c r="K280" s="25" t="str">
        <f aca="false">IF(OR(C280="",G280=""),"",G280*IFERROR(INDEX(Employees!$F$4:$F$43,MATCH(C280,Employees!$B$4:$B$43,0)),0))</f>
        <v/>
      </c>
      <c r="L280" s="28"/>
    </row>
    <row r="281" customFormat="false" ht="15" hidden="false" customHeight="false" outlineLevel="0" collapsed="false">
      <c r="A281" s="26"/>
      <c r="B281" s="27" t="str">
        <f aca="false">IF(A281="","",A281+7-WEEKDAY(A281,1)+1)</f>
        <v/>
      </c>
      <c r="C281" s="28"/>
      <c r="D281" s="29"/>
      <c r="E281" s="28"/>
      <c r="F281" s="28"/>
      <c r="G281" s="30"/>
      <c r="H281" s="31" t="str">
        <f aca="false">IF(E281="","",IFERROR(INDEX(Lists!$C$2:$C$86,MATCH(E281,Lists!$A$2:$A$86,0)),"?"))</f>
        <v/>
      </c>
      <c r="I281" s="32" t="str">
        <f aca="false">IF(OR(C281="",E281=""),"",IF(H281="Yes",IFERROR(INDEX(Employees!$E$4:$E$43,MATCH(C281,Employees!$B$4:$B$43,0)),0),0))</f>
        <v/>
      </c>
      <c r="J281" s="33" t="str">
        <f aca="false">IF(G281="","",IF(H281="Yes",G281*I281,0))</f>
        <v/>
      </c>
      <c r="K281" s="33" t="str">
        <f aca="false">IF(OR(C281="",G281=""),"",G281*IFERROR(INDEX(Employees!$F$4:$F$43,MATCH(C281,Employees!$B$4:$B$43,0)),0))</f>
        <v/>
      </c>
      <c r="L281" s="28"/>
    </row>
    <row r="282" customFormat="false" ht="15" hidden="false" customHeight="false" outlineLevel="0" collapsed="false">
      <c r="A282" s="26"/>
      <c r="B282" s="19" t="str">
        <f aca="false">IF(A282="","",A282+7-WEEKDAY(A282,1)+1)</f>
        <v/>
      </c>
      <c r="C282" s="28"/>
      <c r="D282" s="29"/>
      <c r="E282" s="28"/>
      <c r="F282" s="28"/>
      <c r="G282" s="30"/>
      <c r="H282" s="23" t="str">
        <f aca="false">IF(E282="","",IFERROR(INDEX(Lists!$C$2:$C$86,MATCH(E282,Lists!$A$2:$A$86,0)),"?"))</f>
        <v/>
      </c>
      <c r="I282" s="24" t="str">
        <f aca="false">IF(OR(C282="",E282=""),"",IF(H282="Yes",IFERROR(INDEX(Employees!$E$4:$E$43,MATCH(C282,Employees!$B$4:$B$43,0)),0),0))</f>
        <v/>
      </c>
      <c r="J282" s="25" t="str">
        <f aca="false">IF(G282="","",IF(H282="Yes",G282*I282,0))</f>
        <v/>
      </c>
      <c r="K282" s="25" t="str">
        <f aca="false">IF(OR(C282="",G282=""),"",G282*IFERROR(INDEX(Employees!$F$4:$F$43,MATCH(C282,Employees!$B$4:$B$43,0)),0))</f>
        <v/>
      </c>
      <c r="L282" s="28"/>
    </row>
    <row r="283" customFormat="false" ht="15" hidden="false" customHeight="false" outlineLevel="0" collapsed="false">
      <c r="A283" s="26"/>
      <c r="B283" s="27" t="str">
        <f aca="false">IF(A283="","",A283+7-WEEKDAY(A283,1)+1)</f>
        <v/>
      </c>
      <c r="C283" s="28"/>
      <c r="D283" s="29"/>
      <c r="E283" s="28"/>
      <c r="F283" s="28"/>
      <c r="G283" s="30"/>
      <c r="H283" s="31" t="str">
        <f aca="false">IF(E283="","",IFERROR(INDEX(Lists!$C$2:$C$86,MATCH(E283,Lists!$A$2:$A$86,0)),"?"))</f>
        <v/>
      </c>
      <c r="I283" s="32" t="str">
        <f aca="false">IF(OR(C283="",E283=""),"",IF(H283="Yes",IFERROR(INDEX(Employees!$E$4:$E$43,MATCH(C283,Employees!$B$4:$B$43,0)),0),0))</f>
        <v/>
      </c>
      <c r="J283" s="33" t="str">
        <f aca="false">IF(G283="","",IF(H283="Yes",G283*I283,0))</f>
        <v/>
      </c>
      <c r="K283" s="33" t="str">
        <f aca="false">IF(OR(C283="",G283=""),"",G283*IFERROR(INDEX(Employees!$F$4:$F$43,MATCH(C283,Employees!$B$4:$B$43,0)),0))</f>
        <v/>
      </c>
      <c r="L283" s="28"/>
    </row>
    <row r="284" customFormat="false" ht="15" hidden="false" customHeight="false" outlineLevel="0" collapsed="false">
      <c r="A284" s="26"/>
      <c r="B284" s="19" t="str">
        <f aca="false">IF(A284="","",A284+7-WEEKDAY(A284,1)+1)</f>
        <v/>
      </c>
      <c r="C284" s="28"/>
      <c r="D284" s="29"/>
      <c r="E284" s="28"/>
      <c r="F284" s="28"/>
      <c r="G284" s="30"/>
      <c r="H284" s="23" t="str">
        <f aca="false">IF(E284="","",IFERROR(INDEX(Lists!$C$2:$C$86,MATCH(E284,Lists!$A$2:$A$86,0)),"?"))</f>
        <v/>
      </c>
      <c r="I284" s="24" t="str">
        <f aca="false">IF(OR(C284="",E284=""),"",IF(H284="Yes",IFERROR(INDEX(Employees!$E$4:$E$43,MATCH(C284,Employees!$B$4:$B$43,0)),0),0))</f>
        <v/>
      </c>
      <c r="J284" s="25" t="str">
        <f aca="false">IF(G284="","",IF(H284="Yes",G284*I284,0))</f>
        <v/>
      </c>
      <c r="K284" s="25" t="str">
        <f aca="false">IF(OR(C284="",G284=""),"",G284*IFERROR(INDEX(Employees!$F$4:$F$43,MATCH(C284,Employees!$B$4:$B$43,0)),0))</f>
        <v/>
      </c>
      <c r="L284" s="28"/>
    </row>
    <row r="285" customFormat="false" ht="15" hidden="false" customHeight="false" outlineLevel="0" collapsed="false">
      <c r="A285" s="26"/>
      <c r="B285" s="27" t="str">
        <f aca="false">IF(A285="","",A285+7-WEEKDAY(A285,1)+1)</f>
        <v/>
      </c>
      <c r="C285" s="28"/>
      <c r="D285" s="29"/>
      <c r="E285" s="28"/>
      <c r="F285" s="28"/>
      <c r="G285" s="30"/>
      <c r="H285" s="31" t="str">
        <f aca="false">IF(E285="","",IFERROR(INDEX(Lists!$C$2:$C$86,MATCH(E285,Lists!$A$2:$A$86,0)),"?"))</f>
        <v/>
      </c>
      <c r="I285" s="32" t="str">
        <f aca="false">IF(OR(C285="",E285=""),"",IF(H285="Yes",IFERROR(INDEX(Employees!$E$4:$E$43,MATCH(C285,Employees!$B$4:$B$43,0)),0),0))</f>
        <v/>
      </c>
      <c r="J285" s="33" t="str">
        <f aca="false">IF(G285="","",IF(H285="Yes",G285*I285,0))</f>
        <v/>
      </c>
      <c r="K285" s="33" t="str">
        <f aca="false">IF(OR(C285="",G285=""),"",G285*IFERROR(INDEX(Employees!$F$4:$F$43,MATCH(C285,Employees!$B$4:$B$43,0)),0))</f>
        <v/>
      </c>
      <c r="L285" s="28"/>
    </row>
    <row r="286" customFormat="false" ht="15" hidden="false" customHeight="false" outlineLevel="0" collapsed="false">
      <c r="A286" s="26"/>
      <c r="B286" s="19" t="str">
        <f aca="false">IF(A286="","",A286+7-WEEKDAY(A286,1)+1)</f>
        <v/>
      </c>
      <c r="C286" s="28"/>
      <c r="D286" s="29"/>
      <c r="E286" s="28"/>
      <c r="F286" s="28"/>
      <c r="G286" s="30"/>
      <c r="H286" s="23" t="str">
        <f aca="false">IF(E286="","",IFERROR(INDEX(Lists!$C$2:$C$86,MATCH(E286,Lists!$A$2:$A$86,0)),"?"))</f>
        <v/>
      </c>
      <c r="I286" s="24" t="str">
        <f aca="false">IF(OR(C286="",E286=""),"",IF(H286="Yes",IFERROR(INDEX(Employees!$E$4:$E$43,MATCH(C286,Employees!$B$4:$B$43,0)),0),0))</f>
        <v/>
      </c>
      <c r="J286" s="25" t="str">
        <f aca="false">IF(G286="","",IF(H286="Yes",G286*I286,0))</f>
        <v/>
      </c>
      <c r="K286" s="25" t="str">
        <f aca="false">IF(OR(C286="",G286=""),"",G286*IFERROR(INDEX(Employees!$F$4:$F$43,MATCH(C286,Employees!$B$4:$B$43,0)),0))</f>
        <v/>
      </c>
      <c r="L286" s="28"/>
    </row>
    <row r="287" customFormat="false" ht="15" hidden="false" customHeight="false" outlineLevel="0" collapsed="false">
      <c r="A287" s="26"/>
      <c r="B287" s="27" t="str">
        <f aca="false">IF(A287="","",A287+7-WEEKDAY(A287,1)+1)</f>
        <v/>
      </c>
      <c r="C287" s="28"/>
      <c r="D287" s="29"/>
      <c r="E287" s="28"/>
      <c r="F287" s="28"/>
      <c r="G287" s="30"/>
      <c r="H287" s="31" t="str">
        <f aca="false">IF(E287="","",IFERROR(INDEX(Lists!$C$2:$C$86,MATCH(E287,Lists!$A$2:$A$86,0)),"?"))</f>
        <v/>
      </c>
      <c r="I287" s="32" t="str">
        <f aca="false">IF(OR(C287="",E287=""),"",IF(H287="Yes",IFERROR(INDEX(Employees!$E$4:$E$43,MATCH(C287,Employees!$B$4:$B$43,0)),0),0))</f>
        <v/>
      </c>
      <c r="J287" s="33" t="str">
        <f aca="false">IF(G287="","",IF(H287="Yes",G287*I287,0))</f>
        <v/>
      </c>
      <c r="K287" s="33" t="str">
        <f aca="false">IF(OR(C287="",G287=""),"",G287*IFERROR(INDEX(Employees!$F$4:$F$43,MATCH(C287,Employees!$B$4:$B$43,0)),0))</f>
        <v/>
      </c>
      <c r="L287" s="28"/>
    </row>
    <row r="288" customFormat="false" ht="15" hidden="false" customHeight="false" outlineLevel="0" collapsed="false">
      <c r="A288" s="26"/>
      <c r="B288" s="19" t="str">
        <f aca="false">IF(A288="","",A288+7-WEEKDAY(A288,1)+1)</f>
        <v/>
      </c>
      <c r="C288" s="28"/>
      <c r="D288" s="29"/>
      <c r="E288" s="28"/>
      <c r="F288" s="28"/>
      <c r="G288" s="30"/>
      <c r="H288" s="23" t="str">
        <f aca="false">IF(E288="","",IFERROR(INDEX(Lists!$C$2:$C$86,MATCH(E288,Lists!$A$2:$A$86,0)),"?"))</f>
        <v/>
      </c>
      <c r="I288" s="24" t="str">
        <f aca="false">IF(OR(C288="",E288=""),"",IF(H288="Yes",IFERROR(INDEX(Employees!$E$4:$E$43,MATCH(C288,Employees!$B$4:$B$43,0)),0),0))</f>
        <v/>
      </c>
      <c r="J288" s="25" t="str">
        <f aca="false">IF(G288="","",IF(H288="Yes",G288*I288,0))</f>
        <v/>
      </c>
      <c r="K288" s="25" t="str">
        <f aca="false">IF(OR(C288="",G288=""),"",G288*IFERROR(INDEX(Employees!$F$4:$F$43,MATCH(C288,Employees!$B$4:$B$43,0)),0))</f>
        <v/>
      </c>
      <c r="L288" s="28"/>
    </row>
    <row r="289" customFormat="false" ht="15" hidden="false" customHeight="false" outlineLevel="0" collapsed="false">
      <c r="A289" s="26"/>
      <c r="B289" s="27" t="str">
        <f aca="false">IF(A289="","",A289+7-WEEKDAY(A289,1)+1)</f>
        <v/>
      </c>
      <c r="C289" s="28"/>
      <c r="D289" s="29"/>
      <c r="E289" s="28"/>
      <c r="F289" s="28"/>
      <c r="G289" s="30"/>
      <c r="H289" s="31" t="str">
        <f aca="false">IF(E289="","",IFERROR(INDEX(Lists!$C$2:$C$86,MATCH(E289,Lists!$A$2:$A$86,0)),"?"))</f>
        <v/>
      </c>
      <c r="I289" s="32" t="str">
        <f aca="false">IF(OR(C289="",E289=""),"",IF(H289="Yes",IFERROR(INDEX(Employees!$E$4:$E$43,MATCH(C289,Employees!$B$4:$B$43,0)),0),0))</f>
        <v/>
      </c>
      <c r="J289" s="33" t="str">
        <f aca="false">IF(G289="","",IF(H289="Yes",G289*I289,0))</f>
        <v/>
      </c>
      <c r="K289" s="33" t="str">
        <f aca="false">IF(OR(C289="",G289=""),"",G289*IFERROR(INDEX(Employees!$F$4:$F$43,MATCH(C289,Employees!$B$4:$B$43,0)),0))</f>
        <v/>
      </c>
      <c r="L289" s="28"/>
    </row>
    <row r="290" customFormat="false" ht="15" hidden="false" customHeight="false" outlineLevel="0" collapsed="false">
      <c r="A290" s="26"/>
      <c r="B290" s="19" t="str">
        <f aca="false">IF(A290="","",A290+7-WEEKDAY(A290,1)+1)</f>
        <v/>
      </c>
      <c r="C290" s="28"/>
      <c r="D290" s="29"/>
      <c r="E290" s="28"/>
      <c r="F290" s="28"/>
      <c r="G290" s="30"/>
      <c r="H290" s="23" t="str">
        <f aca="false">IF(E290="","",IFERROR(INDEX(Lists!$C$2:$C$86,MATCH(E290,Lists!$A$2:$A$86,0)),"?"))</f>
        <v/>
      </c>
      <c r="I290" s="24" t="str">
        <f aca="false">IF(OR(C290="",E290=""),"",IF(H290="Yes",IFERROR(INDEX(Employees!$E$4:$E$43,MATCH(C290,Employees!$B$4:$B$43,0)),0),0))</f>
        <v/>
      </c>
      <c r="J290" s="25" t="str">
        <f aca="false">IF(G290="","",IF(H290="Yes",G290*I290,0))</f>
        <v/>
      </c>
      <c r="K290" s="25" t="str">
        <f aca="false">IF(OR(C290="",G290=""),"",G290*IFERROR(INDEX(Employees!$F$4:$F$43,MATCH(C290,Employees!$B$4:$B$43,0)),0))</f>
        <v/>
      </c>
      <c r="L290" s="28"/>
    </row>
    <row r="291" customFormat="false" ht="15" hidden="false" customHeight="false" outlineLevel="0" collapsed="false">
      <c r="A291" s="26"/>
      <c r="B291" s="27" t="str">
        <f aca="false">IF(A291="","",A291+7-WEEKDAY(A291,1)+1)</f>
        <v/>
      </c>
      <c r="C291" s="28"/>
      <c r="D291" s="29"/>
      <c r="E291" s="28"/>
      <c r="F291" s="28"/>
      <c r="G291" s="30"/>
      <c r="H291" s="31" t="str">
        <f aca="false">IF(E291="","",IFERROR(INDEX(Lists!$C$2:$C$86,MATCH(E291,Lists!$A$2:$A$86,0)),"?"))</f>
        <v/>
      </c>
      <c r="I291" s="32" t="str">
        <f aca="false">IF(OR(C291="",E291=""),"",IF(H291="Yes",IFERROR(INDEX(Employees!$E$4:$E$43,MATCH(C291,Employees!$B$4:$B$43,0)),0),0))</f>
        <v/>
      </c>
      <c r="J291" s="33" t="str">
        <f aca="false">IF(G291="","",IF(H291="Yes",G291*I291,0))</f>
        <v/>
      </c>
      <c r="K291" s="33" t="str">
        <f aca="false">IF(OR(C291="",G291=""),"",G291*IFERROR(INDEX(Employees!$F$4:$F$43,MATCH(C291,Employees!$B$4:$B$43,0)),0))</f>
        <v/>
      </c>
      <c r="L291" s="28"/>
    </row>
    <row r="292" customFormat="false" ht="15" hidden="false" customHeight="false" outlineLevel="0" collapsed="false">
      <c r="A292" s="26"/>
      <c r="B292" s="19" t="str">
        <f aca="false">IF(A292="","",A292+7-WEEKDAY(A292,1)+1)</f>
        <v/>
      </c>
      <c r="C292" s="28"/>
      <c r="D292" s="29"/>
      <c r="E292" s="28"/>
      <c r="F292" s="28"/>
      <c r="G292" s="30"/>
      <c r="H292" s="23" t="str">
        <f aca="false">IF(E292="","",IFERROR(INDEX(Lists!$C$2:$C$86,MATCH(E292,Lists!$A$2:$A$86,0)),"?"))</f>
        <v/>
      </c>
      <c r="I292" s="24" t="str">
        <f aca="false">IF(OR(C292="",E292=""),"",IF(H292="Yes",IFERROR(INDEX(Employees!$E$4:$E$43,MATCH(C292,Employees!$B$4:$B$43,0)),0),0))</f>
        <v/>
      </c>
      <c r="J292" s="25" t="str">
        <f aca="false">IF(G292="","",IF(H292="Yes",G292*I292,0))</f>
        <v/>
      </c>
      <c r="K292" s="25" t="str">
        <f aca="false">IF(OR(C292="",G292=""),"",G292*IFERROR(INDEX(Employees!$F$4:$F$43,MATCH(C292,Employees!$B$4:$B$43,0)),0))</f>
        <v/>
      </c>
      <c r="L292" s="28"/>
    </row>
    <row r="293" customFormat="false" ht="15" hidden="false" customHeight="false" outlineLevel="0" collapsed="false">
      <c r="A293" s="26"/>
      <c r="B293" s="27" t="str">
        <f aca="false">IF(A293="","",A293+7-WEEKDAY(A293,1)+1)</f>
        <v/>
      </c>
      <c r="C293" s="28"/>
      <c r="D293" s="29"/>
      <c r="E293" s="28"/>
      <c r="F293" s="28"/>
      <c r="G293" s="30"/>
      <c r="H293" s="31" t="str">
        <f aca="false">IF(E293="","",IFERROR(INDEX(Lists!$C$2:$C$86,MATCH(E293,Lists!$A$2:$A$86,0)),"?"))</f>
        <v/>
      </c>
      <c r="I293" s="32" t="str">
        <f aca="false">IF(OR(C293="",E293=""),"",IF(H293="Yes",IFERROR(INDEX(Employees!$E$4:$E$43,MATCH(C293,Employees!$B$4:$B$43,0)),0),0))</f>
        <v/>
      </c>
      <c r="J293" s="33" t="str">
        <f aca="false">IF(G293="","",IF(H293="Yes",G293*I293,0))</f>
        <v/>
      </c>
      <c r="K293" s="33" t="str">
        <f aca="false">IF(OR(C293="",G293=""),"",G293*IFERROR(INDEX(Employees!$F$4:$F$43,MATCH(C293,Employees!$B$4:$B$43,0)),0))</f>
        <v/>
      </c>
      <c r="L293" s="28"/>
    </row>
    <row r="294" customFormat="false" ht="15" hidden="false" customHeight="false" outlineLevel="0" collapsed="false">
      <c r="A294" s="26"/>
      <c r="B294" s="19" t="str">
        <f aca="false">IF(A294="","",A294+7-WEEKDAY(A294,1)+1)</f>
        <v/>
      </c>
      <c r="C294" s="28"/>
      <c r="D294" s="29"/>
      <c r="E294" s="28"/>
      <c r="F294" s="28"/>
      <c r="G294" s="30"/>
      <c r="H294" s="23" t="str">
        <f aca="false">IF(E294="","",IFERROR(INDEX(Lists!$C$2:$C$86,MATCH(E294,Lists!$A$2:$A$86,0)),"?"))</f>
        <v/>
      </c>
      <c r="I294" s="24" t="str">
        <f aca="false">IF(OR(C294="",E294=""),"",IF(H294="Yes",IFERROR(INDEX(Employees!$E$4:$E$43,MATCH(C294,Employees!$B$4:$B$43,0)),0),0))</f>
        <v/>
      </c>
      <c r="J294" s="25" t="str">
        <f aca="false">IF(G294="","",IF(H294="Yes",G294*I294,0))</f>
        <v/>
      </c>
      <c r="K294" s="25" t="str">
        <f aca="false">IF(OR(C294="",G294=""),"",G294*IFERROR(INDEX(Employees!$F$4:$F$43,MATCH(C294,Employees!$B$4:$B$43,0)),0))</f>
        <v/>
      </c>
      <c r="L294" s="28"/>
    </row>
    <row r="295" customFormat="false" ht="15" hidden="false" customHeight="false" outlineLevel="0" collapsed="false">
      <c r="A295" s="26"/>
      <c r="B295" s="27" t="str">
        <f aca="false">IF(A295="","",A295+7-WEEKDAY(A295,1)+1)</f>
        <v/>
      </c>
      <c r="C295" s="28"/>
      <c r="D295" s="29"/>
      <c r="E295" s="28"/>
      <c r="F295" s="28"/>
      <c r="G295" s="30"/>
      <c r="H295" s="31" t="str">
        <f aca="false">IF(E295="","",IFERROR(INDEX(Lists!$C$2:$C$86,MATCH(E295,Lists!$A$2:$A$86,0)),"?"))</f>
        <v/>
      </c>
      <c r="I295" s="32" t="str">
        <f aca="false">IF(OR(C295="",E295=""),"",IF(H295="Yes",IFERROR(INDEX(Employees!$E$4:$E$43,MATCH(C295,Employees!$B$4:$B$43,0)),0),0))</f>
        <v/>
      </c>
      <c r="J295" s="33" t="str">
        <f aca="false">IF(G295="","",IF(H295="Yes",G295*I295,0))</f>
        <v/>
      </c>
      <c r="K295" s="33" t="str">
        <f aca="false">IF(OR(C295="",G295=""),"",G295*IFERROR(INDEX(Employees!$F$4:$F$43,MATCH(C295,Employees!$B$4:$B$43,0)),0))</f>
        <v/>
      </c>
      <c r="L295" s="28"/>
    </row>
    <row r="296" customFormat="false" ht="15" hidden="false" customHeight="false" outlineLevel="0" collapsed="false">
      <c r="A296" s="26"/>
      <c r="B296" s="19" t="str">
        <f aca="false">IF(A296="","",A296+7-WEEKDAY(A296,1)+1)</f>
        <v/>
      </c>
      <c r="C296" s="28"/>
      <c r="D296" s="29"/>
      <c r="E296" s="28"/>
      <c r="F296" s="28"/>
      <c r="G296" s="30"/>
      <c r="H296" s="23" t="str">
        <f aca="false">IF(E296="","",IFERROR(INDEX(Lists!$C$2:$C$86,MATCH(E296,Lists!$A$2:$A$86,0)),"?"))</f>
        <v/>
      </c>
      <c r="I296" s="24" t="str">
        <f aca="false">IF(OR(C296="",E296=""),"",IF(H296="Yes",IFERROR(INDEX(Employees!$E$4:$E$43,MATCH(C296,Employees!$B$4:$B$43,0)),0),0))</f>
        <v/>
      </c>
      <c r="J296" s="25" t="str">
        <f aca="false">IF(G296="","",IF(H296="Yes",G296*I296,0))</f>
        <v/>
      </c>
      <c r="K296" s="25" t="str">
        <f aca="false">IF(OR(C296="",G296=""),"",G296*IFERROR(INDEX(Employees!$F$4:$F$43,MATCH(C296,Employees!$B$4:$B$43,0)),0))</f>
        <v/>
      </c>
      <c r="L296" s="28"/>
    </row>
    <row r="297" customFormat="false" ht="15" hidden="false" customHeight="false" outlineLevel="0" collapsed="false">
      <c r="A297" s="26"/>
      <c r="B297" s="27" t="str">
        <f aca="false">IF(A297="","",A297+7-WEEKDAY(A297,1)+1)</f>
        <v/>
      </c>
      <c r="C297" s="28"/>
      <c r="D297" s="29"/>
      <c r="E297" s="28"/>
      <c r="F297" s="28"/>
      <c r="G297" s="30"/>
      <c r="H297" s="31" t="str">
        <f aca="false">IF(E297="","",IFERROR(INDEX(Lists!$C$2:$C$86,MATCH(E297,Lists!$A$2:$A$86,0)),"?"))</f>
        <v/>
      </c>
      <c r="I297" s="32" t="str">
        <f aca="false">IF(OR(C297="",E297=""),"",IF(H297="Yes",IFERROR(INDEX(Employees!$E$4:$E$43,MATCH(C297,Employees!$B$4:$B$43,0)),0),0))</f>
        <v/>
      </c>
      <c r="J297" s="33" t="str">
        <f aca="false">IF(G297="","",IF(H297="Yes",G297*I297,0))</f>
        <v/>
      </c>
      <c r="K297" s="33" t="str">
        <f aca="false">IF(OR(C297="",G297=""),"",G297*IFERROR(INDEX(Employees!$F$4:$F$43,MATCH(C297,Employees!$B$4:$B$43,0)),0))</f>
        <v/>
      </c>
      <c r="L297" s="28"/>
    </row>
    <row r="298" customFormat="false" ht="15" hidden="false" customHeight="false" outlineLevel="0" collapsed="false">
      <c r="A298" s="26"/>
      <c r="B298" s="19" t="str">
        <f aca="false">IF(A298="","",A298+7-WEEKDAY(A298,1)+1)</f>
        <v/>
      </c>
      <c r="C298" s="28"/>
      <c r="D298" s="29"/>
      <c r="E298" s="28"/>
      <c r="F298" s="28"/>
      <c r="G298" s="30"/>
      <c r="H298" s="23" t="str">
        <f aca="false">IF(E298="","",IFERROR(INDEX(Lists!$C$2:$C$86,MATCH(E298,Lists!$A$2:$A$86,0)),"?"))</f>
        <v/>
      </c>
      <c r="I298" s="24" t="str">
        <f aca="false">IF(OR(C298="",E298=""),"",IF(H298="Yes",IFERROR(INDEX(Employees!$E$4:$E$43,MATCH(C298,Employees!$B$4:$B$43,0)),0),0))</f>
        <v/>
      </c>
      <c r="J298" s="25" t="str">
        <f aca="false">IF(G298="","",IF(H298="Yes",G298*I298,0))</f>
        <v/>
      </c>
      <c r="K298" s="25" t="str">
        <f aca="false">IF(OR(C298="",G298=""),"",G298*IFERROR(INDEX(Employees!$F$4:$F$43,MATCH(C298,Employees!$B$4:$B$43,0)),0))</f>
        <v/>
      </c>
      <c r="L298" s="28"/>
    </row>
    <row r="299" customFormat="false" ht="15" hidden="false" customHeight="false" outlineLevel="0" collapsed="false">
      <c r="A299" s="26"/>
      <c r="B299" s="27" t="str">
        <f aca="false">IF(A299="","",A299+7-WEEKDAY(A299,1)+1)</f>
        <v/>
      </c>
      <c r="C299" s="28"/>
      <c r="D299" s="29"/>
      <c r="E299" s="28"/>
      <c r="F299" s="28"/>
      <c r="G299" s="30"/>
      <c r="H299" s="31" t="str">
        <f aca="false">IF(E299="","",IFERROR(INDEX(Lists!$C$2:$C$86,MATCH(E299,Lists!$A$2:$A$86,0)),"?"))</f>
        <v/>
      </c>
      <c r="I299" s="32" t="str">
        <f aca="false">IF(OR(C299="",E299=""),"",IF(H299="Yes",IFERROR(INDEX(Employees!$E$4:$E$43,MATCH(C299,Employees!$B$4:$B$43,0)),0),0))</f>
        <v/>
      </c>
      <c r="J299" s="33" t="str">
        <f aca="false">IF(G299="","",IF(H299="Yes",G299*I299,0))</f>
        <v/>
      </c>
      <c r="K299" s="33" t="str">
        <f aca="false">IF(OR(C299="",G299=""),"",G299*IFERROR(INDEX(Employees!$F$4:$F$43,MATCH(C299,Employees!$B$4:$B$43,0)),0))</f>
        <v/>
      </c>
      <c r="L299" s="28"/>
    </row>
    <row r="300" customFormat="false" ht="15" hidden="false" customHeight="false" outlineLevel="0" collapsed="false">
      <c r="A300" s="26"/>
      <c r="B300" s="19" t="str">
        <f aca="false">IF(A300="","",A300+7-WEEKDAY(A300,1)+1)</f>
        <v/>
      </c>
      <c r="C300" s="28"/>
      <c r="D300" s="29"/>
      <c r="E300" s="28"/>
      <c r="F300" s="28"/>
      <c r="G300" s="30"/>
      <c r="H300" s="23" t="str">
        <f aca="false">IF(E300="","",IFERROR(INDEX(Lists!$C$2:$C$86,MATCH(E300,Lists!$A$2:$A$86,0)),"?"))</f>
        <v/>
      </c>
      <c r="I300" s="24" t="str">
        <f aca="false">IF(OR(C300="",E300=""),"",IF(H300="Yes",IFERROR(INDEX(Employees!$E$4:$E$43,MATCH(C300,Employees!$B$4:$B$43,0)),0),0))</f>
        <v/>
      </c>
      <c r="J300" s="25" t="str">
        <f aca="false">IF(G300="","",IF(H300="Yes",G300*I300,0))</f>
        <v/>
      </c>
      <c r="K300" s="25" t="str">
        <f aca="false">IF(OR(C300="",G300=""),"",G300*IFERROR(INDEX(Employees!$F$4:$F$43,MATCH(C300,Employees!$B$4:$B$43,0)),0))</f>
        <v/>
      </c>
      <c r="L300" s="28"/>
    </row>
    <row r="301" customFormat="false" ht="15" hidden="false" customHeight="false" outlineLevel="0" collapsed="false">
      <c r="A301" s="26"/>
      <c r="B301" s="27" t="str">
        <f aca="false">IF(A301="","",A301+7-WEEKDAY(A301,1)+1)</f>
        <v/>
      </c>
      <c r="C301" s="28"/>
      <c r="D301" s="29"/>
      <c r="E301" s="28"/>
      <c r="F301" s="28"/>
      <c r="G301" s="30"/>
      <c r="H301" s="31" t="str">
        <f aca="false">IF(E301="","",IFERROR(INDEX(Lists!$C$2:$C$86,MATCH(E301,Lists!$A$2:$A$86,0)),"?"))</f>
        <v/>
      </c>
      <c r="I301" s="32" t="str">
        <f aca="false">IF(OR(C301="",E301=""),"",IF(H301="Yes",IFERROR(INDEX(Employees!$E$4:$E$43,MATCH(C301,Employees!$B$4:$B$43,0)),0),0))</f>
        <v/>
      </c>
      <c r="J301" s="33" t="str">
        <f aca="false">IF(G301="","",IF(H301="Yes",G301*I301,0))</f>
        <v/>
      </c>
      <c r="K301" s="33" t="str">
        <f aca="false">IF(OR(C301="",G301=""),"",G301*IFERROR(INDEX(Employees!$F$4:$F$43,MATCH(C301,Employees!$B$4:$B$43,0)),0))</f>
        <v/>
      </c>
      <c r="L301" s="28"/>
    </row>
    <row r="302" customFormat="false" ht="15" hidden="false" customHeight="false" outlineLevel="0" collapsed="false">
      <c r="A302" s="26"/>
      <c r="B302" s="19" t="str">
        <f aca="false">IF(A302="","",A302+7-WEEKDAY(A302,1)+1)</f>
        <v/>
      </c>
      <c r="C302" s="28"/>
      <c r="D302" s="29"/>
      <c r="E302" s="28"/>
      <c r="F302" s="28"/>
      <c r="G302" s="30"/>
      <c r="H302" s="23" t="str">
        <f aca="false">IF(E302="","",IFERROR(INDEX(Lists!$C$2:$C$86,MATCH(E302,Lists!$A$2:$A$86,0)),"?"))</f>
        <v/>
      </c>
      <c r="I302" s="24" t="str">
        <f aca="false">IF(OR(C302="",E302=""),"",IF(H302="Yes",IFERROR(INDEX(Employees!$E$4:$E$43,MATCH(C302,Employees!$B$4:$B$43,0)),0),0))</f>
        <v/>
      </c>
      <c r="J302" s="25" t="str">
        <f aca="false">IF(G302="","",IF(H302="Yes",G302*I302,0))</f>
        <v/>
      </c>
      <c r="K302" s="25" t="str">
        <f aca="false">IF(OR(C302="",G302=""),"",G302*IFERROR(INDEX(Employees!$F$4:$F$43,MATCH(C302,Employees!$B$4:$B$43,0)),0))</f>
        <v/>
      </c>
      <c r="L302" s="28"/>
    </row>
    <row r="303" customFormat="false" ht="15" hidden="false" customHeight="false" outlineLevel="0" collapsed="false">
      <c r="A303" s="26"/>
      <c r="B303" s="27" t="str">
        <f aca="false">IF(A303="","",A303+7-WEEKDAY(A303,1)+1)</f>
        <v/>
      </c>
      <c r="C303" s="28"/>
      <c r="D303" s="29"/>
      <c r="E303" s="28"/>
      <c r="F303" s="28"/>
      <c r="G303" s="30"/>
      <c r="H303" s="31" t="str">
        <f aca="false">IF(E303="","",IFERROR(INDEX(Lists!$C$2:$C$86,MATCH(E303,Lists!$A$2:$A$86,0)),"?"))</f>
        <v/>
      </c>
      <c r="I303" s="32" t="str">
        <f aca="false">IF(OR(C303="",E303=""),"",IF(H303="Yes",IFERROR(INDEX(Employees!$E$4:$E$43,MATCH(C303,Employees!$B$4:$B$43,0)),0),0))</f>
        <v/>
      </c>
      <c r="J303" s="33" t="str">
        <f aca="false">IF(G303="","",IF(H303="Yes",G303*I303,0))</f>
        <v/>
      </c>
      <c r="K303" s="33" t="str">
        <f aca="false">IF(OR(C303="",G303=""),"",G303*IFERROR(INDEX(Employees!$F$4:$F$43,MATCH(C303,Employees!$B$4:$B$43,0)),0))</f>
        <v/>
      </c>
      <c r="L303" s="28"/>
    </row>
    <row r="304" customFormat="false" ht="15" hidden="false" customHeight="false" outlineLevel="0" collapsed="false">
      <c r="A304" s="26"/>
      <c r="B304" s="19" t="str">
        <f aca="false">IF(A304="","",A304+7-WEEKDAY(A304,1)+1)</f>
        <v/>
      </c>
      <c r="C304" s="28"/>
      <c r="D304" s="29"/>
      <c r="E304" s="28"/>
      <c r="F304" s="28"/>
      <c r="G304" s="30"/>
      <c r="H304" s="23" t="str">
        <f aca="false">IF(E304="","",IFERROR(INDEX(Lists!$C$2:$C$86,MATCH(E304,Lists!$A$2:$A$86,0)),"?"))</f>
        <v/>
      </c>
      <c r="I304" s="24" t="str">
        <f aca="false">IF(OR(C304="",E304=""),"",IF(H304="Yes",IFERROR(INDEX(Employees!$E$4:$E$43,MATCH(C304,Employees!$B$4:$B$43,0)),0),0))</f>
        <v/>
      </c>
      <c r="J304" s="25" t="str">
        <f aca="false">IF(G304="","",IF(H304="Yes",G304*I304,0))</f>
        <v/>
      </c>
      <c r="K304" s="25" t="str">
        <f aca="false">IF(OR(C304="",G304=""),"",G304*IFERROR(INDEX(Employees!$F$4:$F$43,MATCH(C304,Employees!$B$4:$B$43,0)),0))</f>
        <v/>
      </c>
      <c r="L304" s="28"/>
    </row>
    <row r="305" customFormat="false" ht="15" hidden="false" customHeight="false" outlineLevel="0" collapsed="false">
      <c r="A305" s="26"/>
      <c r="B305" s="27" t="str">
        <f aca="false">IF(A305="","",A305+7-WEEKDAY(A305,1)+1)</f>
        <v/>
      </c>
      <c r="C305" s="28"/>
      <c r="D305" s="29"/>
      <c r="E305" s="28"/>
      <c r="F305" s="28"/>
      <c r="G305" s="30"/>
      <c r="H305" s="31" t="str">
        <f aca="false">IF(E305="","",IFERROR(INDEX(Lists!$C$2:$C$86,MATCH(E305,Lists!$A$2:$A$86,0)),"?"))</f>
        <v/>
      </c>
      <c r="I305" s="32" t="str">
        <f aca="false">IF(OR(C305="",E305=""),"",IF(H305="Yes",IFERROR(INDEX(Employees!$E$4:$E$43,MATCH(C305,Employees!$B$4:$B$43,0)),0),0))</f>
        <v/>
      </c>
      <c r="J305" s="33" t="str">
        <f aca="false">IF(G305="","",IF(H305="Yes",G305*I305,0))</f>
        <v/>
      </c>
      <c r="K305" s="33" t="str">
        <f aca="false">IF(OR(C305="",G305=""),"",G305*IFERROR(INDEX(Employees!$F$4:$F$43,MATCH(C305,Employees!$B$4:$B$43,0)),0))</f>
        <v/>
      </c>
      <c r="L305" s="28"/>
    </row>
    <row r="306" customFormat="false" ht="15" hidden="false" customHeight="false" outlineLevel="0" collapsed="false">
      <c r="A306" s="26"/>
      <c r="B306" s="19" t="str">
        <f aca="false">IF(A306="","",A306+7-WEEKDAY(A306,1)+1)</f>
        <v/>
      </c>
      <c r="C306" s="28"/>
      <c r="D306" s="29"/>
      <c r="E306" s="28"/>
      <c r="F306" s="28"/>
      <c r="G306" s="30"/>
      <c r="H306" s="23" t="str">
        <f aca="false">IF(E306="","",IFERROR(INDEX(Lists!$C$2:$C$86,MATCH(E306,Lists!$A$2:$A$86,0)),"?"))</f>
        <v/>
      </c>
      <c r="I306" s="24" t="str">
        <f aca="false">IF(OR(C306="",E306=""),"",IF(H306="Yes",IFERROR(INDEX(Employees!$E$4:$E$43,MATCH(C306,Employees!$B$4:$B$43,0)),0),0))</f>
        <v/>
      </c>
      <c r="J306" s="25" t="str">
        <f aca="false">IF(G306="","",IF(H306="Yes",G306*I306,0))</f>
        <v/>
      </c>
      <c r="K306" s="25" t="str">
        <f aca="false">IF(OR(C306="",G306=""),"",G306*IFERROR(INDEX(Employees!$F$4:$F$43,MATCH(C306,Employees!$B$4:$B$43,0)),0))</f>
        <v/>
      </c>
      <c r="L306" s="28"/>
    </row>
    <row r="307" customFormat="false" ht="15" hidden="false" customHeight="false" outlineLevel="0" collapsed="false">
      <c r="A307" s="26"/>
      <c r="B307" s="27" t="str">
        <f aca="false">IF(A307="","",A307+7-WEEKDAY(A307,1)+1)</f>
        <v/>
      </c>
      <c r="C307" s="28"/>
      <c r="D307" s="29"/>
      <c r="E307" s="28"/>
      <c r="F307" s="28"/>
      <c r="G307" s="30"/>
      <c r="H307" s="31" t="str">
        <f aca="false">IF(E307="","",IFERROR(INDEX(Lists!$C$2:$C$86,MATCH(E307,Lists!$A$2:$A$86,0)),"?"))</f>
        <v/>
      </c>
      <c r="I307" s="32" t="str">
        <f aca="false">IF(OR(C307="",E307=""),"",IF(H307="Yes",IFERROR(INDEX(Employees!$E$4:$E$43,MATCH(C307,Employees!$B$4:$B$43,0)),0),0))</f>
        <v/>
      </c>
      <c r="J307" s="33" t="str">
        <f aca="false">IF(G307="","",IF(H307="Yes",G307*I307,0))</f>
        <v/>
      </c>
      <c r="K307" s="33" t="str">
        <f aca="false">IF(OR(C307="",G307=""),"",G307*IFERROR(INDEX(Employees!$F$4:$F$43,MATCH(C307,Employees!$B$4:$B$43,0)),0))</f>
        <v/>
      </c>
      <c r="L307" s="28"/>
    </row>
    <row r="308" customFormat="false" ht="15" hidden="false" customHeight="false" outlineLevel="0" collapsed="false">
      <c r="A308" s="26"/>
      <c r="B308" s="19" t="str">
        <f aca="false">IF(A308="","",A308+7-WEEKDAY(A308,1)+1)</f>
        <v/>
      </c>
      <c r="C308" s="28"/>
      <c r="D308" s="29"/>
      <c r="E308" s="28"/>
      <c r="F308" s="28"/>
      <c r="G308" s="30"/>
      <c r="H308" s="23" t="str">
        <f aca="false">IF(E308="","",IFERROR(INDEX(Lists!$C$2:$C$86,MATCH(E308,Lists!$A$2:$A$86,0)),"?"))</f>
        <v/>
      </c>
      <c r="I308" s="24" t="str">
        <f aca="false">IF(OR(C308="",E308=""),"",IF(H308="Yes",IFERROR(INDEX(Employees!$E$4:$E$43,MATCH(C308,Employees!$B$4:$B$43,0)),0),0))</f>
        <v/>
      </c>
      <c r="J308" s="25" t="str">
        <f aca="false">IF(G308="","",IF(H308="Yes",G308*I308,0))</f>
        <v/>
      </c>
      <c r="K308" s="25" t="str">
        <f aca="false">IF(OR(C308="",G308=""),"",G308*IFERROR(INDEX(Employees!$F$4:$F$43,MATCH(C308,Employees!$B$4:$B$43,0)),0))</f>
        <v/>
      </c>
      <c r="L308" s="28"/>
    </row>
    <row r="309" customFormat="false" ht="15" hidden="false" customHeight="false" outlineLevel="0" collapsed="false">
      <c r="A309" s="26"/>
      <c r="B309" s="27" t="str">
        <f aca="false">IF(A309="","",A309+7-WEEKDAY(A309,1)+1)</f>
        <v/>
      </c>
      <c r="C309" s="28"/>
      <c r="D309" s="29"/>
      <c r="E309" s="28"/>
      <c r="F309" s="28"/>
      <c r="G309" s="30"/>
      <c r="H309" s="31" t="str">
        <f aca="false">IF(E309="","",IFERROR(INDEX(Lists!$C$2:$C$86,MATCH(E309,Lists!$A$2:$A$86,0)),"?"))</f>
        <v/>
      </c>
      <c r="I309" s="32" t="str">
        <f aca="false">IF(OR(C309="",E309=""),"",IF(H309="Yes",IFERROR(INDEX(Employees!$E$4:$E$43,MATCH(C309,Employees!$B$4:$B$43,0)),0),0))</f>
        <v/>
      </c>
      <c r="J309" s="33" t="str">
        <f aca="false">IF(G309="","",IF(H309="Yes",G309*I309,0))</f>
        <v/>
      </c>
      <c r="K309" s="33" t="str">
        <f aca="false">IF(OR(C309="",G309=""),"",G309*IFERROR(INDEX(Employees!$F$4:$F$43,MATCH(C309,Employees!$B$4:$B$43,0)),0))</f>
        <v/>
      </c>
      <c r="L309" s="28"/>
    </row>
    <row r="310" customFormat="false" ht="15" hidden="false" customHeight="false" outlineLevel="0" collapsed="false">
      <c r="A310" s="26"/>
      <c r="B310" s="19" t="str">
        <f aca="false">IF(A310="","",A310+7-WEEKDAY(A310,1)+1)</f>
        <v/>
      </c>
      <c r="C310" s="28"/>
      <c r="D310" s="29"/>
      <c r="E310" s="28"/>
      <c r="F310" s="28"/>
      <c r="G310" s="30"/>
      <c r="H310" s="23" t="str">
        <f aca="false">IF(E310="","",IFERROR(INDEX(Lists!$C$2:$C$86,MATCH(E310,Lists!$A$2:$A$86,0)),"?"))</f>
        <v/>
      </c>
      <c r="I310" s="24" t="str">
        <f aca="false">IF(OR(C310="",E310=""),"",IF(H310="Yes",IFERROR(INDEX(Employees!$E$4:$E$43,MATCH(C310,Employees!$B$4:$B$43,0)),0),0))</f>
        <v/>
      </c>
      <c r="J310" s="25" t="str">
        <f aca="false">IF(G310="","",IF(H310="Yes",G310*I310,0))</f>
        <v/>
      </c>
      <c r="K310" s="25" t="str">
        <f aca="false">IF(OR(C310="",G310=""),"",G310*IFERROR(INDEX(Employees!$F$4:$F$43,MATCH(C310,Employees!$B$4:$B$43,0)),0))</f>
        <v/>
      </c>
      <c r="L310" s="28"/>
    </row>
    <row r="311" customFormat="false" ht="15" hidden="false" customHeight="false" outlineLevel="0" collapsed="false">
      <c r="A311" s="26"/>
      <c r="B311" s="27" t="str">
        <f aca="false">IF(A311="","",A311+7-WEEKDAY(A311,1)+1)</f>
        <v/>
      </c>
      <c r="C311" s="28"/>
      <c r="D311" s="29"/>
      <c r="E311" s="28"/>
      <c r="F311" s="28"/>
      <c r="G311" s="30"/>
      <c r="H311" s="31" t="str">
        <f aca="false">IF(E311="","",IFERROR(INDEX(Lists!$C$2:$C$86,MATCH(E311,Lists!$A$2:$A$86,0)),"?"))</f>
        <v/>
      </c>
      <c r="I311" s="32" t="str">
        <f aca="false">IF(OR(C311="",E311=""),"",IF(H311="Yes",IFERROR(INDEX(Employees!$E$4:$E$43,MATCH(C311,Employees!$B$4:$B$43,0)),0),0))</f>
        <v/>
      </c>
      <c r="J311" s="33" t="str">
        <f aca="false">IF(G311="","",IF(H311="Yes",G311*I311,0))</f>
        <v/>
      </c>
      <c r="K311" s="33" t="str">
        <f aca="false">IF(OR(C311="",G311=""),"",G311*IFERROR(INDEX(Employees!$F$4:$F$43,MATCH(C311,Employees!$B$4:$B$43,0)),0))</f>
        <v/>
      </c>
      <c r="L311" s="28"/>
    </row>
    <row r="312" customFormat="false" ht="15" hidden="false" customHeight="false" outlineLevel="0" collapsed="false">
      <c r="A312" s="26"/>
      <c r="B312" s="19" t="str">
        <f aca="false">IF(A312="","",A312+7-WEEKDAY(A312,1)+1)</f>
        <v/>
      </c>
      <c r="C312" s="28"/>
      <c r="D312" s="29"/>
      <c r="E312" s="28"/>
      <c r="F312" s="28"/>
      <c r="G312" s="30"/>
      <c r="H312" s="23" t="str">
        <f aca="false">IF(E312="","",IFERROR(INDEX(Lists!$C$2:$C$86,MATCH(E312,Lists!$A$2:$A$86,0)),"?"))</f>
        <v/>
      </c>
      <c r="I312" s="24" t="str">
        <f aca="false">IF(OR(C312="",E312=""),"",IF(H312="Yes",IFERROR(INDEX(Employees!$E$4:$E$43,MATCH(C312,Employees!$B$4:$B$43,0)),0),0))</f>
        <v/>
      </c>
      <c r="J312" s="25" t="str">
        <f aca="false">IF(G312="","",IF(H312="Yes",G312*I312,0))</f>
        <v/>
      </c>
      <c r="K312" s="25" t="str">
        <f aca="false">IF(OR(C312="",G312=""),"",G312*IFERROR(INDEX(Employees!$F$4:$F$43,MATCH(C312,Employees!$B$4:$B$43,0)),0))</f>
        <v/>
      </c>
      <c r="L312" s="28"/>
    </row>
    <row r="313" customFormat="false" ht="15" hidden="false" customHeight="false" outlineLevel="0" collapsed="false">
      <c r="A313" s="26"/>
      <c r="B313" s="27" t="str">
        <f aca="false">IF(A313="","",A313+7-WEEKDAY(A313,1)+1)</f>
        <v/>
      </c>
      <c r="C313" s="28"/>
      <c r="D313" s="29"/>
      <c r="E313" s="28"/>
      <c r="F313" s="28"/>
      <c r="G313" s="30"/>
      <c r="H313" s="31" t="str">
        <f aca="false">IF(E313="","",IFERROR(INDEX(Lists!$C$2:$C$86,MATCH(E313,Lists!$A$2:$A$86,0)),"?"))</f>
        <v/>
      </c>
      <c r="I313" s="32" t="str">
        <f aca="false">IF(OR(C313="",E313=""),"",IF(H313="Yes",IFERROR(INDEX(Employees!$E$4:$E$43,MATCH(C313,Employees!$B$4:$B$43,0)),0),0))</f>
        <v/>
      </c>
      <c r="J313" s="33" t="str">
        <f aca="false">IF(G313="","",IF(H313="Yes",G313*I313,0))</f>
        <v/>
      </c>
      <c r="K313" s="33" t="str">
        <f aca="false">IF(OR(C313="",G313=""),"",G313*IFERROR(INDEX(Employees!$F$4:$F$43,MATCH(C313,Employees!$B$4:$B$43,0)),0))</f>
        <v/>
      </c>
      <c r="L313" s="28"/>
    </row>
    <row r="314" customFormat="false" ht="15" hidden="false" customHeight="false" outlineLevel="0" collapsed="false">
      <c r="A314" s="26"/>
      <c r="B314" s="19" t="str">
        <f aca="false">IF(A314="","",A314+7-WEEKDAY(A314,1)+1)</f>
        <v/>
      </c>
      <c r="C314" s="28"/>
      <c r="D314" s="29"/>
      <c r="E314" s="28"/>
      <c r="F314" s="28"/>
      <c r="G314" s="30"/>
      <c r="H314" s="23" t="str">
        <f aca="false">IF(E314="","",IFERROR(INDEX(Lists!$C$2:$C$86,MATCH(E314,Lists!$A$2:$A$86,0)),"?"))</f>
        <v/>
      </c>
      <c r="I314" s="24" t="str">
        <f aca="false">IF(OR(C314="",E314=""),"",IF(H314="Yes",IFERROR(INDEX(Employees!$E$4:$E$43,MATCH(C314,Employees!$B$4:$B$43,0)),0),0))</f>
        <v/>
      </c>
      <c r="J314" s="25" t="str">
        <f aca="false">IF(G314="","",IF(H314="Yes",G314*I314,0))</f>
        <v/>
      </c>
      <c r="K314" s="25" t="str">
        <f aca="false">IF(OR(C314="",G314=""),"",G314*IFERROR(INDEX(Employees!$F$4:$F$43,MATCH(C314,Employees!$B$4:$B$43,0)),0))</f>
        <v/>
      </c>
      <c r="L314" s="28"/>
    </row>
    <row r="315" customFormat="false" ht="15" hidden="false" customHeight="false" outlineLevel="0" collapsed="false">
      <c r="A315" s="26"/>
      <c r="B315" s="27" t="str">
        <f aca="false">IF(A315="","",A315+7-WEEKDAY(A315,1)+1)</f>
        <v/>
      </c>
      <c r="C315" s="28"/>
      <c r="D315" s="29"/>
      <c r="E315" s="28"/>
      <c r="F315" s="28"/>
      <c r="G315" s="30"/>
      <c r="H315" s="31" t="str">
        <f aca="false">IF(E315="","",IFERROR(INDEX(Lists!$C$2:$C$86,MATCH(E315,Lists!$A$2:$A$86,0)),"?"))</f>
        <v/>
      </c>
      <c r="I315" s="32" t="str">
        <f aca="false">IF(OR(C315="",E315=""),"",IF(H315="Yes",IFERROR(INDEX(Employees!$E$4:$E$43,MATCH(C315,Employees!$B$4:$B$43,0)),0),0))</f>
        <v/>
      </c>
      <c r="J315" s="33" t="str">
        <f aca="false">IF(G315="","",IF(H315="Yes",G315*I315,0))</f>
        <v/>
      </c>
      <c r="K315" s="33" t="str">
        <f aca="false">IF(OR(C315="",G315=""),"",G315*IFERROR(INDEX(Employees!$F$4:$F$43,MATCH(C315,Employees!$B$4:$B$43,0)),0))</f>
        <v/>
      </c>
      <c r="L315" s="28"/>
    </row>
    <row r="316" customFormat="false" ht="15" hidden="false" customHeight="false" outlineLevel="0" collapsed="false">
      <c r="A316" s="26"/>
      <c r="B316" s="19" t="str">
        <f aca="false">IF(A316="","",A316+7-WEEKDAY(A316,1)+1)</f>
        <v/>
      </c>
      <c r="C316" s="28"/>
      <c r="D316" s="29"/>
      <c r="E316" s="28"/>
      <c r="F316" s="28"/>
      <c r="G316" s="30"/>
      <c r="H316" s="23" t="str">
        <f aca="false">IF(E316="","",IFERROR(INDEX(Lists!$C$2:$C$86,MATCH(E316,Lists!$A$2:$A$86,0)),"?"))</f>
        <v/>
      </c>
      <c r="I316" s="24" t="str">
        <f aca="false">IF(OR(C316="",E316=""),"",IF(H316="Yes",IFERROR(INDEX(Employees!$E$4:$E$43,MATCH(C316,Employees!$B$4:$B$43,0)),0),0))</f>
        <v/>
      </c>
      <c r="J316" s="25" t="str">
        <f aca="false">IF(G316="","",IF(H316="Yes",G316*I316,0))</f>
        <v/>
      </c>
      <c r="K316" s="25" t="str">
        <f aca="false">IF(OR(C316="",G316=""),"",G316*IFERROR(INDEX(Employees!$F$4:$F$43,MATCH(C316,Employees!$B$4:$B$43,0)),0))</f>
        <v/>
      </c>
      <c r="L316" s="28"/>
    </row>
    <row r="317" customFormat="false" ht="15" hidden="false" customHeight="false" outlineLevel="0" collapsed="false">
      <c r="A317" s="26"/>
      <c r="B317" s="27" t="str">
        <f aca="false">IF(A317="","",A317+7-WEEKDAY(A317,1)+1)</f>
        <v/>
      </c>
      <c r="C317" s="28"/>
      <c r="D317" s="29"/>
      <c r="E317" s="28"/>
      <c r="F317" s="28"/>
      <c r="G317" s="30"/>
      <c r="H317" s="31" t="str">
        <f aca="false">IF(E317="","",IFERROR(INDEX(Lists!$C$2:$C$86,MATCH(E317,Lists!$A$2:$A$86,0)),"?"))</f>
        <v/>
      </c>
      <c r="I317" s="32" t="str">
        <f aca="false">IF(OR(C317="",E317=""),"",IF(H317="Yes",IFERROR(INDEX(Employees!$E$4:$E$43,MATCH(C317,Employees!$B$4:$B$43,0)),0),0))</f>
        <v/>
      </c>
      <c r="J317" s="33" t="str">
        <f aca="false">IF(G317="","",IF(H317="Yes",G317*I317,0))</f>
        <v/>
      </c>
      <c r="K317" s="33" t="str">
        <f aca="false">IF(OR(C317="",G317=""),"",G317*IFERROR(INDEX(Employees!$F$4:$F$43,MATCH(C317,Employees!$B$4:$B$43,0)),0))</f>
        <v/>
      </c>
      <c r="L317" s="28"/>
    </row>
    <row r="318" customFormat="false" ht="15" hidden="false" customHeight="false" outlineLevel="0" collapsed="false">
      <c r="A318" s="26"/>
      <c r="B318" s="19" t="str">
        <f aca="false">IF(A318="","",A318+7-WEEKDAY(A318,1)+1)</f>
        <v/>
      </c>
      <c r="C318" s="28"/>
      <c r="D318" s="29"/>
      <c r="E318" s="28"/>
      <c r="F318" s="28"/>
      <c r="G318" s="30"/>
      <c r="H318" s="23" t="str">
        <f aca="false">IF(E318="","",IFERROR(INDEX(Lists!$C$2:$C$86,MATCH(E318,Lists!$A$2:$A$86,0)),"?"))</f>
        <v/>
      </c>
      <c r="I318" s="24" t="str">
        <f aca="false">IF(OR(C318="",E318=""),"",IF(H318="Yes",IFERROR(INDEX(Employees!$E$4:$E$43,MATCH(C318,Employees!$B$4:$B$43,0)),0),0))</f>
        <v/>
      </c>
      <c r="J318" s="25" t="str">
        <f aca="false">IF(G318="","",IF(H318="Yes",G318*I318,0))</f>
        <v/>
      </c>
      <c r="K318" s="25" t="str">
        <f aca="false">IF(OR(C318="",G318=""),"",G318*IFERROR(INDEX(Employees!$F$4:$F$43,MATCH(C318,Employees!$B$4:$B$43,0)),0))</f>
        <v/>
      </c>
      <c r="L318" s="28"/>
    </row>
    <row r="319" customFormat="false" ht="15" hidden="false" customHeight="false" outlineLevel="0" collapsed="false">
      <c r="A319" s="26"/>
      <c r="B319" s="27" t="str">
        <f aca="false">IF(A319="","",A319+7-WEEKDAY(A319,1)+1)</f>
        <v/>
      </c>
      <c r="C319" s="28"/>
      <c r="D319" s="29"/>
      <c r="E319" s="28"/>
      <c r="F319" s="28"/>
      <c r="G319" s="30"/>
      <c r="H319" s="31" t="str">
        <f aca="false">IF(E319="","",IFERROR(INDEX(Lists!$C$2:$C$86,MATCH(E319,Lists!$A$2:$A$86,0)),"?"))</f>
        <v/>
      </c>
      <c r="I319" s="32" t="str">
        <f aca="false">IF(OR(C319="",E319=""),"",IF(H319="Yes",IFERROR(INDEX(Employees!$E$4:$E$43,MATCH(C319,Employees!$B$4:$B$43,0)),0),0))</f>
        <v/>
      </c>
      <c r="J319" s="33" t="str">
        <f aca="false">IF(G319="","",IF(H319="Yes",G319*I319,0))</f>
        <v/>
      </c>
      <c r="K319" s="33" t="str">
        <f aca="false">IF(OR(C319="",G319=""),"",G319*IFERROR(INDEX(Employees!$F$4:$F$43,MATCH(C319,Employees!$B$4:$B$43,0)),0))</f>
        <v/>
      </c>
      <c r="L319" s="28"/>
    </row>
    <row r="320" customFormat="false" ht="15" hidden="false" customHeight="false" outlineLevel="0" collapsed="false">
      <c r="A320" s="26"/>
      <c r="B320" s="19" t="str">
        <f aca="false">IF(A320="","",A320+7-WEEKDAY(A320,1)+1)</f>
        <v/>
      </c>
      <c r="C320" s="28"/>
      <c r="D320" s="29"/>
      <c r="E320" s="28"/>
      <c r="F320" s="28"/>
      <c r="G320" s="30"/>
      <c r="H320" s="23" t="str">
        <f aca="false">IF(E320="","",IFERROR(INDEX(Lists!$C$2:$C$86,MATCH(E320,Lists!$A$2:$A$86,0)),"?"))</f>
        <v/>
      </c>
      <c r="I320" s="24" t="str">
        <f aca="false">IF(OR(C320="",E320=""),"",IF(H320="Yes",IFERROR(INDEX(Employees!$E$4:$E$43,MATCH(C320,Employees!$B$4:$B$43,0)),0),0))</f>
        <v/>
      </c>
      <c r="J320" s="25" t="str">
        <f aca="false">IF(G320="","",IF(H320="Yes",G320*I320,0))</f>
        <v/>
      </c>
      <c r="K320" s="25" t="str">
        <f aca="false">IF(OR(C320="",G320=""),"",G320*IFERROR(INDEX(Employees!$F$4:$F$43,MATCH(C320,Employees!$B$4:$B$43,0)),0))</f>
        <v/>
      </c>
      <c r="L320" s="28"/>
    </row>
    <row r="321" customFormat="false" ht="15" hidden="false" customHeight="false" outlineLevel="0" collapsed="false">
      <c r="A321" s="26"/>
      <c r="B321" s="27" t="str">
        <f aca="false">IF(A321="","",A321+7-WEEKDAY(A321,1)+1)</f>
        <v/>
      </c>
      <c r="C321" s="28"/>
      <c r="D321" s="29"/>
      <c r="E321" s="28"/>
      <c r="F321" s="28"/>
      <c r="G321" s="30"/>
      <c r="H321" s="31" t="str">
        <f aca="false">IF(E321="","",IFERROR(INDEX(Lists!$C$2:$C$86,MATCH(E321,Lists!$A$2:$A$86,0)),"?"))</f>
        <v/>
      </c>
      <c r="I321" s="32" t="str">
        <f aca="false">IF(OR(C321="",E321=""),"",IF(H321="Yes",IFERROR(INDEX(Employees!$E$4:$E$43,MATCH(C321,Employees!$B$4:$B$43,0)),0),0))</f>
        <v/>
      </c>
      <c r="J321" s="33" t="str">
        <f aca="false">IF(G321="","",IF(H321="Yes",G321*I321,0))</f>
        <v/>
      </c>
      <c r="K321" s="33" t="str">
        <f aca="false">IF(OR(C321="",G321=""),"",G321*IFERROR(INDEX(Employees!$F$4:$F$43,MATCH(C321,Employees!$B$4:$B$43,0)),0))</f>
        <v/>
      </c>
      <c r="L321" s="28"/>
    </row>
    <row r="322" customFormat="false" ht="15" hidden="false" customHeight="false" outlineLevel="0" collapsed="false">
      <c r="A322" s="26"/>
      <c r="B322" s="19" t="str">
        <f aca="false">IF(A322="","",A322+7-WEEKDAY(A322,1)+1)</f>
        <v/>
      </c>
      <c r="C322" s="28"/>
      <c r="D322" s="29"/>
      <c r="E322" s="28"/>
      <c r="F322" s="28"/>
      <c r="G322" s="30"/>
      <c r="H322" s="23" t="str">
        <f aca="false">IF(E322="","",IFERROR(INDEX(Lists!$C$2:$C$86,MATCH(E322,Lists!$A$2:$A$86,0)),"?"))</f>
        <v/>
      </c>
      <c r="I322" s="24" t="str">
        <f aca="false">IF(OR(C322="",E322=""),"",IF(H322="Yes",IFERROR(INDEX(Employees!$E$4:$E$43,MATCH(C322,Employees!$B$4:$B$43,0)),0),0))</f>
        <v/>
      </c>
      <c r="J322" s="25" t="str">
        <f aca="false">IF(G322="","",IF(H322="Yes",G322*I322,0))</f>
        <v/>
      </c>
      <c r="K322" s="25" t="str">
        <f aca="false">IF(OR(C322="",G322=""),"",G322*IFERROR(INDEX(Employees!$F$4:$F$43,MATCH(C322,Employees!$B$4:$B$43,0)),0))</f>
        <v/>
      </c>
      <c r="L322" s="28"/>
    </row>
    <row r="323" customFormat="false" ht="15" hidden="false" customHeight="false" outlineLevel="0" collapsed="false">
      <c r="A323" s="26"/>
      <c r="B323" s="27" t="str">
        <f aca="false">IF(A323="","",A323+7-WEEKDAY(A323,1)+1)</f>
        <v/>
      </c>
      <c r="C323" s="28"/>
      <c r="D323" s="29"/>
      <c r="E323" s="28"/>
      <c r="F323" s="28"/>
      <c r="G323" s="30"/>
      <c r="H323" s="31" t="str">
        <f aca="false">IF(E323="","",IFERROR(INDEX(Lists!$C$2:$C$86,MATCH(E323,Lists!$A$2:$A$86,0)),"?"))</f>
        <v/>
      </c>
      <c r="I323" s="32" t="str">
        <f aca="false">IF(OR(C323="",E323=""),"",IF(H323="Yes",IFERROR(INDEX(Employees!$E$4:$E$43,MATCH(C323,Employees!$B$4:$B$43,0)),0),0))</f>
        <v/>
      </c>
      <c r="J323" s="33" t="str">
        <f aca="false">IF(G323="","",IF(H323="Yes",G323*I323,0))</f>
        <v/>
      </c>
      <c r="K323" s="33" t="str">
        <f aca="false">IF(OR(C323="",G323=""),"",G323*IFERROR(INDEX(Employees!$F$4:$F$43,MATCH(C323,Employees!$B$4:$B$43,0)),0))</f>
        <v/>
      </c>
      <c r="L323" s="28"/>
    </row>
    <row r="324" customFormat="false" ht="15" hidden="false" customHeight="false" outlineLevel="0" collapsed="false">
      <c r="A324" s="26"/>
      <c r="B324" s="19" t="str">
        <f aca="false">IF(A324="","",A324+7-WEEKDAY(A324,1)+1)</f>
        <v/>
      </c>
      <c r="C324" s="28"/>
      <c r="D324" s="29"/>
      <c r="E324" s="28"/>
      <c r="F324" s="28"/>
      <c r="G324" s="30"/>
      <c r="H324" s="23" t="str">
        <f aca="false">IF(E324="","",IFERROR(INDEX(Lists!$C$2:$C$86,MATCH(E324,Lists!$A$2:$A$86,0)),"?"))</f>
        <v/>
      </c>
      <c r="I324" s="24" t="str">
        <f aca="false">IF(OR(C324="",E324=""),"",IF(H324="Yes",IFERROR(INDEX(Employees!$E$4:$E$43,MATCH(C324,Employees!$B$4:$B$43,0)),0),0))</f>
        <v/>
      </c>
      <c r="J324" s="25" t="str">
        <f aca="false">IF(G324="","",IF(H324="Yes",G324*I324,0))</f>
        <v/>
      </c>
      <c r="K324" s="25" t="str">
        <f aca="false">IF(OR(C324="",G324=""),"",G324*IFERROR(INDEX(Employees!$F$4:$F$43,MATCH(C324,Employees!$B$4:$B$43,0)),0))</f>
        <v/>
      </c>
      <c r="L324" s="28"/>
    </row>
    <row r="325" customFormat="false" ht="15" hidden="false" customHeight="false" outlineLevel="0" collapsed="false">
      <c r="A325" s="26"/>
      <c r="B325" s="27" t="str">
        <f aca="false">IF(A325="","",A325+7-WEEKDAY(A325,1)+1)</f>
        <v/>
      </c>
      <c r="C325" s="28"/>
      <c r="D325" s="29"/>
      <c r="E325" s="28"/>
      <c r="F325" s="28"/>
      <c r="G325" s="30"/>
      <c r="H325" s="31" t="str">
        <f aca="false">IF(E325="","",IFERROR(INDEX(Lists!$C$2:$C$86,MATCH(E325,Lists!$A$2:$A$86,0)),"?"))</f>
        <v/>
      </c>
      <c r="I325" s="32" t="str">
        <f aca="false">IF(OR(C325="",E325=""),"",IF(H325="Yes",IFERROR(INDEX(Employees!$E$4:$E$43,MATCH(C325,Employees!$B$4:$B$43,0)),0),0))</f>
        <v/>
      </c>
      <c r="J325" s="33" t="str">
        <f aca="false">IF(G325="","",IF(H325="Yes",G325*I325,0))</f>
        <v/>
      </c>
      <c r="K325" s="33" t="str">
        <f aca="false">IF(OR(C325="",G325=""),"",G325*IFERROR(INDEX(Employees!$F$4:$F$43,MATCH(C325,Employees!$B$4:$B$43,0)),0))</f>
        <v/>
      </c>
      <c r="L325" s="28"/>
    </row>
    <row r="326" customFormat="false" ht="15" hidden="false" customHeight="false" outlineLevel="0" collapsed="false">
      <c r="A326" s="26"/>
      <c r="B326" s="19" t="str">
        <f aca="false">IF(A326="","",A326+7-WEEKDAY(A326,1)+1)</f>
        <v/>
      </c>
      <c r="C326" s="28"/>
      <c r="D326" s="29"/>
      <c r="E326" s="28"/>
      <c r="F326" s="28"/>
      <c r="G326" s="30"/>
      <c r="H326" s="23" t="str">
        <f aca="false">IF(E326="","",IFERROR(INDEX(Lists!$C$2:$C$86,MATCH(E326,Lists!$A$2:$A$86,0)),"?"))</f>
        <v/>
      </c>
      <c r="I326" s="24" t="str">
        <f aca="false">IF(OR(C326="",E326=""),"",IF(H326="Yes",IFERROR(INDEX(Employees!$E$4:$E$43,MATCH(C326,Employees!$B$4:$B$43,0)),0),0))</f>
        <v/>
      </c>
      <c r="J326" s="25" t="str">
        <f aca="false">IF(G326="","",IF(H326="Yes",G326*I326,0))</f>
        <v/>
      </c>
      <c r="K326" s="25" t="str">
        <f aca="false">IF(OR(C326="",G326=""),"",G326*IFERROR(INDEX(Employees!$F$4:$F$43,MATCH(C326,Employees!$B$4:$B$43,0)),0))</f>
        <v/>
      </c>
      <c r="L326" s="28"/>
    </row>
    <row r="327" customFormat="false" ht="15" hidden="false" customHeight="false" outlineLevel="0" collapsed="false">
      <c r="A327" s="26"/>
      <c r="B327" s="27" t="str">
        <f aca="false">IF(A327="","",A327+7-WEEKDAY(A327,1)+1)</f>
        <v/>
      </c>
      <c r="C327" s="28"/>
      <c r="D327" s="29"/>
      <c r="E327" s="28"/>
      <c r="F327" s="28"/>
      <c r="G327" s="30"/>
      <c r="H327" s="31" t="str">
        <f aca="false">IF(E327="","",IFERROR(INDEX(Lists!$C$2:$C$86,MATCH(E327,Lists!$A$2:$A$86,0)),"?"))</f>
        <v/>
      </c>
      <c r="I327" s="32" t="str">
        <f aca="false">IF(OR(C327="",E327=""),"",IF(H327="Yes",IFERROR(INDEX(Employees!$E$4:$E$43,MATCH(C327,Employees!$B$4:$B$43,0)),0),0))</f>
        <v/>
      </c>
      <c r="J327" s="33" t="str">
        <f aca="false">IF(G327="","",IF(H327="Yes",G327*I327,0))</f>
        <v/>
      </c>
      <c r="K327" s="33" t="str">
        <f aca="false">IF(OR(C327="",G327=""),"",G327*IFERROR(INDEX(Employees!$F$4:$F$43,MATCH(C327,Employees!$B$4:$B$43,0)),0))</f>
        <v/>
      </c>
      <c r="L327" s="28"/>
    </row>
    <row r="328" customFormat="false" ht="15" hidden="false" customHeight="false" outlineLevel="0" collapsed="false">
      <c r="A328" s="26"/>
      <c r="B328" s="19" t="str">
        <f aca="false">IF(A328="","",A328+7-WEEKDAY(A328,1)+1)</f>
        <v/>
      </c>
      <c r="C328" s="28"/>
      <c r="D328" s="29"/>
      <c r="E328" s="28"/>
      <c r="F328" s="28"/>
      <c r="G328" s="30"/>
      <c r="H328" s="23" t="str">
        <f aca="false">IF(E328="","",IFERROR(INDEX(Lists!$C$2:$C$86,MATCH(E328,Lists!$A$2:$A$86,0)),"?"))</f>
        <v/>
      </c>
      <c r="I328" s="24" t="str">
        <f aca="false">IF(OR(C328="",E328=""),"",IF(H328="Yes",IFERROR(INDEX(Employees!$E$4:$E$43,MATCH(C328,Employees!$B$4:$B$43,0)),0),0))</f>
        <v/>
      </c>
      <c r="J328" s="25" t="str">
        <f aca="false">IF(G328="","",IF(H328="Yes",G328*I328,0))</f>
        <v/>
      </c>
      <c r="K328" s="25" t="str">
        <f aca="false">IF(OR(C328="",G328=""),"",G328*IFERROR(INDEX(Employees!$F$4:$F$43,MATCH(C328,Employees!$B$4:$B$43,0)),0))</f>
        <v/>
      </c>
      <c r="L328" s="28"/>
    </row>
    <row r="329" customFormat="false" ht="15" hidden="false" customHeight="false" outlineLevel="0" collapsed="false">
      <c r="A329" s="26"/>
      <c r="B329" s="27" t="str">
        <f aca="false">IF(A329="","",A329+7-WEEKDAY(A329,1)+1)</f>
        <v/>
      </c>
      <c r="C329" s="28"/>
      <c r="D329" s="29"/>
      <c r="E329" s="28"/>
      <c r="F329" s="28"/>
      <c r="G329" s="30"/>
      <c r="H329" s="31" t="str">
        <f aca="false">IF(E329="","",IFERROR(INDEX(Lists!$C$2:$C$86,MATCH(E329,Lists!$A$2:$A$86,0)),"?"))</f>
        <v/>
      </c>
      <c r="I329" s="32" t="str">
        <f aca="false">IF(OR(C329="",E329=""),"",IF(H329="Yes",IFERROR(INDEX(Employees!$E$4:$E$43,MATCH(C329,Employees!$B$4:$B$43,0)),0),0))</f>
        <v/>
      </c>
      <c r="J329" s="33" t="str">
        <f aca="false">IF(G329="","",IF(H329="Yes",G329*I329,0))</f>
        <v/>
      </c>
      <c r="K329" s="33" t="str">
        <f aca="false">IF(OR(C329="",G329=""),"",G329*IFERROR(INDEX(Employees!$F$4:$F$43,MATCH(C329,Employees!$B$4:$B$43,0)),0))</f>
        <v/>
      </c>
      <c r="L329" s="28"/>
    </row>
    <row r="330" customFormat="false" ht="15" hidden="false" customHeight="false" outlineLevel="0" collapsed="false">
      <c r="A330" s="26"/>
      <c r="B330" s="19" t="str">
        <f aca="false">IF(A330="","",A330+7-WEEKDAY(A330,1)+1)</f>
        <v/>
      </c>
      <c r="C330" s="28"/>
      <c r="D330" s="29"/>
      <c r="E330" s="28"/>
      <c r="F330" s="28"/>
      <c r="G330" s="30"/>
      <c r="H330" s="23" t="str">
        <f aca="false">IF(E330="","",IFERROR(INDEX(Lists!$C$2:$C$86,MATCH(E330,Lists!$A$2:$A$86,0)),"?"))</f>
        <v/>
      </c>
      <c r="I330" s="24" t="str">
        <f aca="false">IF(OR(C330="",E330=""),"",IF(H330="Yes",IFERROR(INDEX(Employees!$E$4:$E$43,MATCH(C330,Employees!$B$4:$B$43,0)),0),0))</f>
        <v/>
      </c>
      <c r="J330" s="25" t="str">
        <f aca="false">IF(G330="","",IF(H330="Yes",G330*I330,0))</f>
        <v/>
      </c>
      <c r="K330" s="25" t="str">
        <f aca="false">IF(OR(C330="",G330=""),"",G330*IFERROR(INDEX(Employees!$F$4:$F$43,MATCH(C330,Employees!$B$4:$B$43,0)),0))</f>
        <v/>
      </c>
      <c r="L330" s="28"/>
    </row>
    <row r="331" customFormat="false" ht="15" hidden="false" customHeight="false" outlineLevel="0" collapsed="false">
      <c r="A331" s="26"/>
      <c r="B331" s="27" t="str">
        <f aca="false">IF(A331="","",A331+7-WEEKDAY(A331,1)+1)</f>
        <v/>
      </c>
      <c r="C331" s="28"/>
      <c r="D331" s="29"/>
      <c r="E331" s="28"/>
      <c r="F331" s="28"/>
      <c r="G331" s="30"/>
      <c r="H331" s="31" t="str">
        <f aca="false">IF(E331="","",IFERROR(INDEX(Lists!$C$2:$C$86,MATCH(E331,Lists!$A$2:$A$86,0)),"?"))</f>
        <v/>
      </c>
      <c r="I331" s="32" t="str">
        <f aca="false">IF(OR(C331="",E331=""),"",IF(H331="Yes",IFERROR(INDEX(Employees!$E$4:$E$43,MATCH(C331,Employees!$B$4:$B$43,0)),0),0))</f>
        <v/>
      </c>
      <c r="J331" s="33" t="str">
        <f aca="false">IF(G331="","",IF(H331="Yes",G331*I331,0))</f>
        <v/>
      </c>
      <c r="K331" s="33" t="str">
        <f aca="false">IF(OR(C331="",G331=""),"",G331*IFERROR(INDEX(Employees!$F$4:$F$43,MATCH(C331,Employees!$B$4:$B$43,0)),0))</f>
        <v/>
      </c>
      <c r="L331" s="28"/>
    </row>
    <row r="332" customFormat="false" ht="15" hidden="false" customHeight="false" outlineLevel="0" collapsed="false">
      <c r="A332" s="26"/>
      <c r="B332" s="19" t="str">
        <f aca="false">IF(A332="","",A332+7-WEEKDAY(A332,1)+1)</f>
        <v/>
      </c>
      <c r="C332" s="28"/>
      <c r="D332" s="29"/>
      <c r="E332" s="28"/>
      <c r="F332" s="28"/>
      <c r="G332" s="30"/>
      <c r="H332" s="23" t="str">
        <f aca="false">IF(E332="","",IFERROR(INDEX(Lists!$C$2:$C$86,MATCH(E332,Lists!$A$2:$A$86,0)),"?"))</f>
        <v/>
      </c>
      <c r="I332" s="24" t="str">
        <f aca="false">IF(OR(C332="",E332=""),"",IF(H332="Yes",IFERROR(INDEX(Employees!$E$4:$E$43,MATCH(C332,Employees!$B$4:$B$43,0)),0),0))</f>
        <v/>
      </c>
      <c r="J332" s="25" t="str">
        <f aca="false">IF(G332="","",IF(H332="Yes",G332*I332,0))</f>
        <v/>
      </c>
      <c r="K332" s="25" t="str">
        <f aca="false">IF(OR(C332="",G332=""),"",G332*IFERROR(INDEX(Employees!$F$4:$F$43,MATCH(C332,Employees!$B$4:$B$43,0)),0))</f>
        <v/>
      </c>
      <c r="L332" s="28"/>
    </row>
    <row r="333" customFormat="false" ht="15" hidden="false" customHeight="false" outlineLevel="0" collapsed="false">
      <c r="A333" s="26"/>
      <c r="B333" s="27" t="str">
        <f aca="false">IF(A333="","",A333+7-WEEKDAY(A333,1)+1)</f>
        <v/>
      </c>
      <c r="C333" s="28"/>
      <c r="D333" s="29"/>
      <c r="E333" s="28"/>
      <c r="F333" s="28"/>
      <c r="G333" s="30"/>
      <c r="H333" s="31" t="str">
        <f aca="false">IF(E333="","",IFERROR(INDEX(Lists!$C$2:$C$86,MATCH(E333,Lists!$A$2:$A$86,0)),"?"))</f>
        <v/>
      </c>
      <c r="I333" s="32" t="str">
        <f aca="false">IF(OR(C333="",E333=""),"",IF(H333="Yes",IFERROR(INDEX(Employees!$E$4:$E$43,MATCH(C333,Employees!$B$4:$B$43,0)),0),0))</f>
        <v/>
      </c>
      <c r="J333" s="33" t="str">
        <f aca="false">IF(G333="","",IF(H333="Yes",G333*I333,0))</f>
        <v/>
      </c>
      <c r="K333" s="33" t="str">
        <f aca="false">IF(OR(C333="",G333=""),"",G333*IFERROR(INDEX(Employees!$F$4:$F$43,MATCH(C333,Employees!$B$4:$B$43,0)),0))</f>
        <v/>
      </c>
      <c r="L333" s="28"/>
    </row>
    <row r="334" customFormat="false" ht="15" hidden="false" customHeight="false" outlineLevel="0" collapsed="false">
      <c r="A334" s="26"/>
      <c r="B334" s="19" t="str">
        <f aca="false">IF(A334="","",A334+7-WEEKDAY(A334,1)+1)</f>
        <v/>
      </c>
      <c r="C334" s="28"/>
      <c r="D334" s="29"/>
      <c r="E334" s="28"/>
      <c r="F334" s="28"/>
      <c r="G334" s="30"/>
      <c r="H334" s="23" t="str">
        <f aca="false">IF(E334="","",IFERROR(INDEX(Lists!$C$2:$C$86,MATCH(E334,Lists!$A$2:$A$86,0)),"?"))</f>
        <v/>
      </c>
      <c r="I334" s="24" t="str">
        <f aca="false">IF(OR(C334="",E334=""),"",IF(H334="Yes",IFERROR(INDEX(Employees!$E$4:$E$43,MATCH(C334,Employees!$B$4:$B$43,0)),0),0))</f>
        <v/>
      </c>
      <c r="J334" s="25" t="str">
        <f aca="false">IF(G334="","",IF(H334="Yes",G334*I334,0))</f>
        <v/>
      </c>
      <c r="K334" s="25" t="str">
        <f aca="false">IF(OR(C334="",G334=""),"",G334*IFERROR(INDEX(Employees!$F$4:$F$43,MATCH(C334,Employees!$B$4:$B$43,0)),0))</f>
        <v/>
      </c>
      <c r="L334" s="28"/>
    </row>
    <row r="335" customFormat="false" ht="15" hidden="false" customHeight="false" outlineLevel="0" collapsed="false">
      <c r="A335" s="26"/>
      <c r="B335" s="27" t="str">
        <f aca="false">IF(A335="","",A335+7-WEEKDAY(A335,1)+1)</f>
        <v/>
      </c>
      <c r="C335" s="28"/>
      <c r="D335" s="29"/>
      <c r="E335" s="28"/>
      <c r="F335" s="28"/>
      <c r="G335" s="30"/>
      <c r="H335" s="31" t="str">
        <f aca="false">IF(E335="","",IFERROR(INDEX(Lists!$C$2:$C$86,MATCH(E335,Lists!$A$2:$A$86,0)),"?"))</f>
        <v/>
      </c>
      <c r="I335" s="32" t="str">
        <f aca="false">IF(OR(C335="",E335=""),"",IF(H335="Yes",IFERROR(INDEX(Employees!$E$4:$E$43,MATCH(C335,Employees!$B$4:$B$43,0)),0),0))</f>
        <v/>
      </c>
      <c r="J335" s="33" t="str">
        <f aca="false">IF(G335="","",IF(H335="Yes",G335*I335,0))</f>
        <v/>
      </c>
      <c r="K335" s="33" t="str">
        <f aca="false">IF(OR(C335="",G335=""),"",G335*IFERROR(INDEX(Employees!$F$4:$F$43,MATCH(C335,Employees!$B$4:$B$43,0)),0))</f>
        <v/>
      </c>
      <c r="L335" s="28"/>
    </row>
    <row r="336" customFormat="false" ht="15" hidden="false" customHeight="false" outlineLevel="0" collapsed="false">
      <c r="A336" s="26"/>
      <c r="B336" s="19" t="str">
        <f aca="false">IF(A336="","",A336+7-WEEKDAY(A336,1)+1)</f>
        <v/>
      </c>
      <c r="C336" s="28"/>
      <c r="D336" s="29"/>
      <c r="E336" s="28"/>
      <c r="F336" s="28"/>
      <c r="G336" s="30"/>
      <c r="H336" s="23" t="str">
        <f aca="false">IF(E336="","",IFERROR(INDEX(Lists!$C$2:$C$86,MATCH(E336,Lists!$A$2:$A$86,0)),"?"))</f>
        <v/>
      </c>
      <c r="I336" s="24" t="str">
        <f aca="false">IF(OR(C336="",E336=""),"",IF(H336="Yes",IFERROR(INDEX(Employees!$E$4:$E$43,MATCH(C336,Employees!$B$4:$B$43,0)),0),0))</f>
        <v/>
      </c>
      <c r="J336" s="25" t="str">
        <f aca="false">IF(G336="","",IF(H336="Yes",G336*I336,0))</f>
        <v/>
      </c>
      <c r="K336" s="25" t="str">
        <f aca="false">IF(OR(C336="",G336=""),"",G336*IFERROR(INDEX(Employees!$F$4:$F$43,MATCH(C336,Employees!$B$4:$B$43,0)),0))</f>
        <v/>
      </c>
      <c r="L336" s="28"/>
    </row>
    <row r="337" customFormat="false" ht="15" hidden="false" customHeight="false" outlineLevel="0" collapsed="false">
      <c r="A337" s="26"/>
      <c r="B337" s="27" t="str">
        <f aca="false">IF(A337="","",A337+7-WEEKDAY(A337,1)+1)</f>
        <v/>
      </c>
      <c r="C337" s="28"/>
      <c r="D337" s="29"/>
      <c r="E337" s="28"/>
      <c r="F337" s="28"/>
      <c r="G337" s="30"/>
      <c r="H337" s="31" t="str">
        <f aca="false">IF(E337="","",IFERROR(INDEX(Lists!$C$2:$C$86,MATCH(E337,Lists!$A$2:$A$86,0)),"?"))</f>
        <v/>
      </c>
      <c r="I337" s="32" t="str">
        <f aca="false">IF(OR(C337="",E337=""),"",IF(H337="Yes",IFERROR(INDEX(Employees!$E$4:$E$43,MATCH(C337,Employees!$B$4:$B$43,0)),0),0))</f>
        <v/>
      </c>
      <c r="J337" s="33" t="str">
        <f aca="false">IF(G337="","",IF(H337="Yes",G337*I337,0))</f>
        <v/>
      </c>
      <c r="K337" s="33" t="str">
        <f aca="false">IF(OR(C337="",G337=""),"",G337*IFERROR(INDEX(Employees!$F$4:$F$43,MATCH(C337,Employees!$B$4:$B$43,0)),0))</f>
        <v/>
      </c>
      <c r="L337" s="28"/>
    </row>
    <row r="338" customFormat="false" ht="15" hidden="false" customHeight="false" outlineLevel="0" collapsed="false">
      <c r="A338" s="26"/>
      <c r="B338" s="19" t="str">
        <f aca="false">IF(A338="","",A338+7-WEEKDAY(A338,1)+1)</f>
        <v/>
      </c>
      <c r="C338" s="28"/>
      <c r="D338" s="29"/>
      <c r="E338" s="28"/>
      <c r="F338" s="28"/>
      <c r="G338" s="30"/>
      <c r="H338" s="23" t="str">
        <f aca="false">IF(E338="","",IFERROR(INDEX(Lists!$C$2:$C$86,MATCH(E338,Lists!$A$2:$A$86,0)),"?"))</f>
        <v/>
      </c>
      <c r="I338" s="24" t="str">
        <f aca="false">IF(OR(C338="",E338=""),"",IF(H338="Yes",IFERROR(INDEX(Employees!$E$4:$E$43,MATCH(C338,Employees!$B$4:$B$43,0)),0),0))</f>
        <v/>
      </c>
      <c r="J338" s="25" t="str">
        <f aca="false">IF(G338="","",IF(H338="Yes",G338*I338,0))</f>
        <v/>
      </c>
      <c r="K338" s="25" t="str">
        <f aca="false">IF(OR(C338="",G338=""),"",G338*IFERROR(INDEX(Employees!$F$4:$F$43,MATCH(C338,Employees!$B$4:$B$43,0)),0))</f>
        <v/>
      </c>
      <c r="L338" s="28"/>
    </row>
    <row r="339" customFormat="false" ht="15" hidden="false" customHeight="false" outlineLevel="0" collapsed="false">
      <c r="A339" s="26"/>
      <c r="B339" s="27" t="str">
        <f aca="false">IF(A339="","",A339+7-WEEKDAY(A339,1)+1)</f>
        <v/>
      </c>
      <c r="C339" s="28"/>
      <c r="D339" s="29"/>
      <c r="E339" s="28"/>
      <c r="F339" s="28"/>
      <c r="G339" s="30"/>
      <c r="H339" s="31" t="str">
        <f aca="false">IF(E339="","",IFERROR(INDEX(Lists!$C$2:$C$86,MATCH(E339,Lists!$A$2:$A$86,0)),"?"))</f>
        <v/>
      </c>
      <c r="I339" s="32" t="str">
        <f aca="false">IF(OR(C339="",E339=""),"",IF(H339="Yes",IFERROR(INDEX(Employees!$E$4:$E$43,MATCH(C339,Employees!$B$4:$B$43,0)),0),0))</f>
        <v/>
      </c>
      <c r="J339" s="33" t="str">
        <f aca="false">IF(G339="","",IF(H339="Yes",G339*I339,0))</f>
        <v/>
      </c>
      <c r="K339" s="33" t="str">
        <f aca="false">IF(OR(C339="",G339=""),"",G339*IFERROR(INDEX(Employees!$F$4:$F$43,MATCH(C339,Employees!$B$4:$B$43,0)),0))</f>
        <v/>
      </c>
      <c r="L339" s="28"/>
    </row>
    <row r="340" customFormat="false" ht="15" hidden="false" customHeight="false" outlineLevel="0" collapsed="false">
      <c r="A340" s="26"/>
      <c r="B340" s="19" t="str">
        <f aca="false">IF(A340="","",A340+7-WEEKDAY(A340,1)+1)</f>
        <v/>
      </c>
      <c r="C340" s="28"/>
      <c r="D340" s="29"/>
      <c r="E340" s="28"/>
      <c r="F340" s="28"/>
      <c r="G340" s="30"/>
      <c r="H340" s="23" t="str">
        <f aca="false">IF(E340="","",IFERROR(INDEX(Lists!$C$2:$C$86,MATCH(E340,Lists!$A$2:$A$86,0)),"?"))</f>
        <v/>
      </c>
      <c r="I340" s="24" t="str">
        <f aca="false">IF(OR(C340="",E340=""),"",IF(H340="Yes",IFERROR(INDEX(Employees!$E$4:$E$43,MATCH(C340,Employees!$B$4:$B$43,0)),0),0))</f>
        <v/>
      </c>
      <c r="J340" s="25" t="str">
        <f aca="false">IF(G340="","",IF(H340="Yes",G340*I340,0))</f>
        <v/>
      </c>
      <c r="K340" s="25" t="str">
        <f aca="false">IF(OR(C340="",G340=""),"",G340*IFERROR(INDEX(Employees!$F$4:$F$43,MATCH(C340,Employees!$B$4:$B$43,0)),0))</f>
        <v/>
      </c>
      <c r="L340" s="28"/>
    </row>
    <row r="341" customFormat="false" ht="15" hidden="false" customHeight="false" outlineLevel="0" collapsed="false">
      <c r="A341" s="26"/>
      <c r="B341" s="27" t="str">
        <f aca="false">IF(A341="","",A341+7-WEEKDAY(A341,1)+1)</f>
        <v/>
      </c>
      <c r="C341" s="28"/>
      <c r="D341" s="29"/>
      <c r="E341" s="28"/>
      <c r="F341" s="28"/>
      <c r="G341" s="30"/>
      <c r="H341" s="31" t="str">
        <f aca="false">IF(E341="","",IFERROR(INDEX(Lists!$C$2:$C$86,MATCH(E341,Lists!$A$2:$A$86,0)),"?"))</f>
        <v/>
      </c>
      <c r="I341" s="32" t="str">
        <f aca="false">IF(OR(C341="",E341=""),"",IF(H341="Yes",IFERROR(INDEX(Employees!$E$4:$E$43,MATCH(C341,Employees!$B$4:$B$43,0)),0),0))</f>
        <v/>
      </c>
      <c r="J341" s="33" t="str">
        <f aca="false">IF(G341="","",IF(H341="Yes",G341*I341,0))</f>
        <v/>
      </c>
      <c r="K341" s="33" t="str">
        <f aca="false">IF(OR(C341="",G341=""),"",G341*IFERROR(INDEX(Employees!$F$4:$F$43,MATCH(C341,Employees!$B$4:$B$43,0)),0))</f>
        <v/>
      </c>
      <c r="L341" s="28"/>
    </row>
    <row r="342" customFormat="false" ht="15" hidden="false" customHeight="false" outlineLevel="0" collapsed="false">
      <c r="A342" s="26"/>
      <c r="B342" s="19" t="str">
        <f aca="false">IF(A342="","",A342+7-WEEKDAY(A342,1)+1)</f>
        <v/>
      </c>
      <c r="C342" s="28"/>
      <c r="D342" s="29"/>
      <c r="E342" s="28"/>
      <c r="F342" s="28"/>
      <c r="G342" s="30"/>
      <c r="H342" s="23" t="str">
        <f aca="false">IF(E342="","",IFERROR(INDEX(Lists!$C$2:$C$86,MATCH(E342,Lists!$A$2:$A$86,0)),"?"))</f>
        <v/>
      </c>
      <c r="I342" s="24" t="str">
        <f aca="false">IF(OR(C342="",E342=""),"",IF(H342="Yes",IFERROR(INDEX(Employees!$E$4:$E$43,MATCH(C342,Employees!$B$4:$B$43,0)),0),0))</f>
        <v/>
      </c>
      <c r="J342" s="25" t="str">
        <f aca="false">IF(G342="","",IF(H342="Yes",G342*I342,0))</f>
        <v/>
      </c>
      <c r="K342" s="25" t="str">
        <f aca="false">IF(OR(C342="",G342=""),"",G342*IFERROR(INDEX(Employees!$F$4:$F$43,MATCH(C342,Employees!$B$4:$B$43,0)),0))</f>
        <v/>
      </c>
      <c r="L342" s="28"/>
    </row>
    <row r="343" customFormat="false" ht="15" hidden="false" customHeight="false" outlineLevel="0" collapsed="false">
      <c r="A343" s="26"/>
      <c r="B343" s="27" t="str">
        <f aca="false">IF(A343="","",A343+7-WEEKDAY(A343,1)+1)</f>
        <v/>
      </c>
      <c r="C343" s="28"/>
      <c r="D343" s="29"/>
      <c r="E343" s="28"/>
      <c r="F343" s="28"/>
      <c r="G343" s="30"/>
      <c r="H343" s="31" t="str">
        <f aca="false">IF(E343="","",IFERROR(INDEX(Lists!$C$2:$C$86,MATCH(E343,Lists!$A$2:$A$86,0)),"?"))</f>
        <v/>
      </c>
      <c r="I343" s="32" t="str">
        <f aca="false">IF(OR(C343="",E343=""),"",IF(H343="Yes",IFERROR(INDEX(Employees!$E$4:$E$43,MATCH(C343,Employees!$B$4:$B$43,0)),0),0))</f>
        <v/>
      </c>
      <c r="J343" s="33" t="str">
        <f aca="false">IF(G343="","",IF(H343="Yes",G343*I343,0))</f>
        <v/>
      </c>
      <c r="K343" s="33" t="str">
        <f aca="false">IF(OR(C343="",G343=""),"",G343*IFERROR(INDEX(Employees!$F$4:$F$43,MATCH(C343,Employees!$B$4:$B$43,0)),0))</f>
        <v/>
      </c>
      <c r="L343" s="28"/>
    </row>
    <row r="344" customFormat="false" ht="15" hidden="false" customHeight="false" outlineLevel="0" collapsed="false">
      <c r="A344" s="26"/>
      <c r="B344" s="19" t="str">
        <f aca="false">IF(A344="","",A344+7-WEEKDAY(A344,1)+1)</f>
        <v/>
      </c>
      <c r="C344" s="28"/>
      <c r="D344" s="29"/>
      <c r="E344" s="28"/>
      <c r="F344" s="28"/>
      <c r="G344" s="30"/>
      <c r="H344" s="23" t="str">
        <f aca="false">IF(E344="","",IFERROR(INDEX(Lists!$C$2:$C$86,MATCH(E344,Lists!$A$2:$A$86,0)),"?"))</f>
        <v/>
      </c>
      <c r="I344" s="24" t="str">
        <f aca="false">IF(OR(C344="",E344=""),"",IF(H344="Yes",IFERROR(INDEX(Employees!$E$4:$E$43,MATCH(C344,Employees!$B$4:$B$43,0)),0),0))</f>
        <v/>
      </c>
      <c r="J344" s="25" t="str">
        <f aca="false">IF(G344="","",IF(H344="Yes",G344*I344,0))</f>
        <v/>
      </c>
      <c r="K344" s="25" t="str">
        <f aca="false">IF(OR(C344="",G344=""),"",G344*IFERROR(INDEX(Employees!$F$4:$F$43,MATCH(C344,Employees!$B$4:$B$43,0)),0))</f>
        <v/>
      </c>
      <c r="L344" s="28"/>
    </row>
    <row r="345" customFormat="false" ht="15" hidden="false" customHeight="false" outlineLevel="0" collapsed="false">
      <c r="A345" s="26"/>
      <c r="B345" s="27" t="str">
        <f aca="false">IF(A345="","",A345+7-WEEKDAY(A345,1)+1)</f>
        <v/>
      </c>
      <c r="C345" s="28"/>
      <c r="D345" s="29"/>
      <c r="E345" s="28"/>
      <c r="F345" s="28"/>
      <c r="G345" s="30"/>
      <c r="H345" s="31" t="str">
        <f aca="false">IF(E345="","",IFERROR(INDEX(Lists!$C$2:$C$86,MATCH(E345,Lists!$A$2:$A$86,0)),"?"))</f>
        <v/>
      </c>
      <c r="I345" s="32" t="str">
        <f aca="false">IF(OR(C345="",E345=""),"",IF(H345="Yes",IFERROR(INDEX(Employees!$E$4:$E$43,MATCH(C345,Employees!$B$4:$B$43,0)),0),0))</f>
        <v/>
      </c>
      <c r="J345" s="33" t="str">
        <f aca="false">IF(G345="","",IF(H345="Yes",G345*I345,0))</f>
        <v/>
      </c>
      <c r="K345" s="33" t="str">
        <f aca="false">IF(OR(C345="",G345=""),"",G345*IFERROR(INDEX(Employees!$F$4:$F$43,MATCH(C345,Employees!$B$4:$B$43,0)),0))</f>
        <v/>
      </c>
      <c r="L345" s="28"/>
    </row>
    <row r="346" customFormat="false" ht="15" hidden="false" customHeight="false" outlineLevel="0" collapsed="false">
      <c r="A346" s="26"/>
      <c r="B346" s="19" t="str">
        <f aca="false">IF(A346="","",A346+7-WEEKDAY(A346,1)+1)</f>
        <v/>
      </c>
      <c r="C346" s="28"/>
      <c r="D346" s="29"/>
      <c r="E346" s="28"/>
      <c r="F346" s="28"/>
      <c r="G346" s="30"/>
      <c r="H346" s="23" t="str">
        <f aca="false">IF(E346="","",IFERROR(INDEX(Lists!$C$2:$C$86,MATCH(E346,Lists!$A$2:$A$86,0)),"?"))</f>
        <v/>
      </c>
      <c r="I346" s="24" t="str">
        <f aca="false">IF(OR(C346="",E346=""),"",IF(H346="Yes",IFERROR(INDEX(Employees!$E$4:$E$43,MATCH(C346,Employees!$B$4:$B$43,0)),0),0))</f>
        <v/>
      </c>
      <c r="J346" s="25" t="str">
        <f aca="false">IF(G346="","",IF(H346="Yes",G346*I346,0))</f>
        <v/>
      </c>
      <c r="K346" s="25" t="str">
        <f aca="false">IF(OR(C346="",G346=""),"",G346*IFERROR(INDEX(Employees!$F$4:$F$43,MATCH(C346,Employees!$B$4:$B$43,0)),0))</f>
        <v/>
      </c>
      <c r="L346" s="28"/>
    </row>
    <row r="347" customFormat="false" ht="15" hidden="false" customHeight="false" outlineLevel="0" collapsed="false">
      <c r="A347" s="26"/>
      <c r="B347" s="27" t="str">
        <f aca="false">IF(A347="","",A347+7-WEEKDAY(A347,1)+1)</f>
        <v/>
      </c>
      <c r="C347" s="28"/>
      <c r="D347" s="29"/>
      <c r="E347" s="28"/>
      <c r="F347" s="28"/>
      <c r="G347" s="30"/>
      <c r="H347" s="31" t="str">
        <f aca="false">IF(E347="","",IFERROR(INDEX(Lists!$C$2:$C$86,MATCH(E347,Lists!$A$2:$A$86,0)),"?"))</f>
        <v/>
      </c>
      <c r="I347" s="32" t="str">
        <f aca="false">IF(OR(C347="",E347=""),"",IF(H347="Yes",IFERROR(INDEX(Employees!$E$4:$E$43,MATCH(C347,Employees!$B$4:$B$43,0)),0),0))</f>
        <v/>
      </c>
      <c r="J347" s="33" t="str">
        <f aca="false">IF(G347="","",IF(H347="Yes",G347*I347,0))</f>
        <v/>
      </c>
      <c r="K347" s="33" t="str">
        <f aca="false">IF(OR(C347="",G347=""),"",G347*IFERROR(INDEX(Employees!$F$4:$F$43,MATCH(C347,Employees!$B$4:$B$43,0)),0))</f>
        <v/>
      </c>
      <c r="L347" s="28"/>
    </row>
    <row r="348" customFormat="false" ht="15" hidden="false" customHeight="false" outlineLevel="0" collapsed="false">
      <c r="A348" s="26"/>
      <c r="B348" s="19" t="str">
        <f aca="false">IF(A348="","",A348+7-WEEKDAY(A348,1)+1)</f>
        <v/>
      </c>
      <c r="C348" s="28"/>
      <c r="D348" s="29"/>
      <c r="E348" s="28"/>
      <c r="F348" s="28"/>
      <c r="G348" s="30"/>
      <c r="H348" s="23" t="str">
        <f aca="false">IF(E348="","",IFERROR(INDEX(Lists!$C$2:$C$86,MATCH(E348,Lists!$A$2:$A$86,0)),"?"))</f>
        <v/>
      </c>
      <c r="I348" s="24" t="str">
        <f aca="false">IF(OR(C348="",E348=""),"",IF(H348="Yes",IFERROR(INDEX(Employees!$E$4:$E$43,MATCH(C348,Employees!$B$4:$B$43,0)),0),0))</f>
        <v/>
      </c>
      <c r="J348" s="25" t="str">
        <f aca="false">IF(G348="","",IF(H348="Yes",G348*I348,0))</f>
        <v/>
      </c>
      <c r="K348" s="25" t="str">
        <f aca="false">IF(OR(C348="",G348=""),"",G348*IFERROR(INDEX(Employees!$F$4:$F$43,MATCH(C348,Employees!$B$4:$B$43,0)),0))</f>
        <v/>
      </c>
      <c r="L348" s="28"/>
    </row>
    <row r="349" customFormat="false" ht="15" hidden="false" customHeight="false" outlineLevel="0" collapsed="false">
      <c r="A349" s="26"/>
      <c r="B349" s="27" t="str">
        <f aca="false">IF(A349="","",A349+7-WEEKDAY(A349,1)+1)</f>
        <v/>
      </c>
      <c r="C349" s="28"/>
      <c r="D349" s="29"/>
      <c r="E349" s="28"/>
      <c r="F349" s="28"/>
      <c r="G349" s="30"/>
      <c r="H349" s="31" t="str">
        <f aca="false">IF(E349="","",IFERROR(INDEX(Lists!$C$2:$C$86,MATCH(E349,Lists!$A$2:$A$86,0)),"?"))</f>
        <v/>
      </c>
      <c r="I349" s="32" t="str">
        <f aca="false">IF(OR(C349="",E349=""),"",IF(H349="Yes",IFERROR(INDEX(Employees!$E$4:$E$43,MATCH(C349,Employees!$B$4:$B$43,0)),0),0))</f>
        <v/>
      </c>
      <c r="J349" s="33" t="str">
        <f aca="false">IF(G349="","",IF(H349="Yes",G349*I349,0))</f>
        <v/>
      </c>
      <c r="K349" s="33" t="str">
        <f aca="false">IF(OR(C349="",G349=""),"",G349*IFERROR(INDEX(Employees!$F$4:$F$43,MATCH(C349,Employees!$B$4:$B$43,0)),0))</f>
        <v/>
      </c>
      <c r="L349" s="28"/>
    </row>
    <row r="350" customFormat="false" ht="15" hidden="false" customHeight="false" outlineLevel="0" collapsed="false">
      <c r="A350" s="26"/>
      <c r="B350" s="19" t="str">
        <f aca="false">IF(A350="","",A350+7-WEEKDAY(A350,1)+1)</f>
        <v/>
      </c>
      <c r="C350" s="28"/>
      <c r="D350" s="29"/>
      <c r="E350" s="28"/>
      <c r="F350" s="28"/>
      <c r="G350" s="30"/>
      <c r="H350" s="23" t="str">
        <f aca="false">IF(E350="","",IFERROR(INDEX(Lists!$C$2:$C$86,MATCH(E350,Lists!$A$2:$A$86,0)),"?"))</f>
        <v/>
      </c>
      <c r="I350" s="24" t="str">
        <f aca="false">IF(OR(C350="",E350=""),"",IF(H350="Yes",IFERROR(INDEX(Employees!$E$4:$E$43,MATCH(C350,Employees!$B$4:$B$43,0)),0),0))</f>
        <v/>
      </c>
      <c r="J350" s="25" t="str">
        <f aca="false">IF(G350="","",IF(H350="Yes",G350*I350,0))</f>
        <v/>
      </c>
      <c r="K350" s="25" t="str">
        <f aca="false">IF(OR(C350="",G350=""),"",G350*IFERROR(INDEX(Employees!$F$4:$F$43,MATCH(C350,Employees!$B$4:$B$43,0)),0))</f>
        <v/>
      </c>
      <c r="L350" s="28"/>
    </row>
    <row r="351" customFormat="false" ht="15" hidden="false" customHeight="false" outlineLevel="0" collapsed="false">
      <c r="A351" s="26"/>
      <c r="B351" s="27" t="str">
        <f aca="false">IF(A351="","",A351+7-WEEKDAY(A351,1)+1)</f>
        <v/>
      </c>
      <c r="C351" s="28"/>
      <c r="D351" s="29"/>
      <c r="E351" s="28"/>
      <c r="F351" s="28"/>
      <c r="G351" s="30"/>
      <c r="H351" s="31" t="str">
        <f aca="false">IF(E351="","",IFERROR(INDEX(Lists!$C$2:$C$86,MATCH(E351,Lists!$A$2:$A$86,0)),"?"))</f>
        <v/>
      </c>
      <c r="I351" s="32" t="str">
        <f aca="false">IF(OR(C351="",E351=""),"",IF(H351="Yes",IFERROR(INDEX(Employees!$E$4:$E$43,MATCH(C351,Employees!$B$4:$B$43,0)),0),0))</f>
        <v/>
      </c>
      <c r="J351" s="33" t="str">
        <f aca="false">IF(G351="","",IF(H351="Yes",G351*I351,0))</f>
        <v/>
      </c>
      <c r="K351" s="33" t="str">
        <f aca="false">IF(OR(C351="",G351=""),"",G351*IFERROR(INDEX(Employees!$F$4:$F$43,MATCH(C351,Employees!$B$4:$B$43,0)),0))</f>
        <v/>
      </c>
      <c r="L351" s="28"/>
    </row>
    <row r="352" customFormat="false" ht="15" hidden="false" customHeight="false" outlineLevel="0" collapsed="false">
      <c r="A352" s="26"/>
      <c r="B352" s="19" t="str">
        <f aca="false">IF(A352="","",A352+7-WEEKDAY(A352,1)+1)</f>
        <v/>
      </c>
      <c r="C352" s="28"/>
      <c r="D352" s="29"/>
      <c r="E352" s="28"/>
      <c r="F352" s="28"/>
      <c r="G352" s="30"/>
      <c r="H352" s="23" t="str">
        <f aca="false">IF(E352="","",IFERROR(INDEX(Lists!$C$2:$C$86,MATCH(E352,Lists!$A$2:$A$86,0)),"?"))</f>
        <v/>
      </c>
      <c r="I352" s="24" t="str">
        <f aca="false">IF(OR(C352="",E352=""),"",IF(H352="Yes",IFERROR(INDEX(Employees!$E$4:$E$43,MATCH(C352,Employees!$B$4:$B$43,0)),0),0))</f>
        <v/>
      </c>
      <c r="J352" s="25" t="str">
        <f aca="false">IF(G352="","",IF(H352="Yes",G352*I352,0))</f>
        <v/>
      </c>
      <c r="K352" s="25" t="str">
        <f aca="false">IF(OR(C352="",G352=""),"",G352*IFERROR(INDEX(Employees!$F$4:$F$43,MATCH(C352,Employees!$B$4:$B$43,0)),0))</f>
        <v/>
      </c>
      <c r="L352" s="28"/>
    </row>
    <row r="353" customFormat="false" ht="15" hidden="false" customHeight="false" outlineLevel="0" collapsed="false">
      <c r="A353" s="26"/>
      <c r="B353" s="27" t="str">
        <f aca="false">IF(A353="","",A353+7-WEEKDAY(A353,1)+1)</f>
        <v/>
      </c>
      <c r="C353" s="28"/>
      <c r="D353" s="29"/>
      <c r="E353" s="28"/>
      <c r="F353" s="28"/>
      <c r="G353" s="30"/>
      <c r="H353" s="31" t="str">
        <f aca="false">IF(E353="","",IFERROR(INDEX(Lists!$C$2:$C$86,MATCH(E353,Lists!$A$2:$A$86,0)),"?"))</f>
        <v/>
      </c>
      <c r="I353" s="32" t="str">
        <f aca="false">IF(OR(C353="",E353=""),"",IF(H353="Yes",IFERROR(INDEX(Employees!$E$4:$E$43,MATCH(C353,Employees!$B$4:$B$43,0)),0),0))</f>
        <v/>
      </c>
      <c r="J353" s="33" t="str">
        <f aca="false">IF(G353="","",IF(H353="Yes",G353*I353,0))</f>
        <v/>
      </c>
      <c r="K353" s="33" t="str">
        <f aca="false">IF(OR(C353="",G353=""),"",G353*IFERROR(INDEX(Employees!$F$4:$F$43,MATCH(C353,Employees!$B$4:$B$43,0)),0))</f>
        <v/>
      </c>
      <c r="L353" s="28"/>
    </row>
    <row r="354" customFormat="false" ht="15" hidden="false" customHeight="false" outlineLevel="0" collapsed="false">
      <c r="A354" s="26"/>
      <c r="B354" s="19" t="str">
        <f aca="false">IF(A354="","",A354+7-WEEKDAY(A354,1)+1)</f>
        <v/>
      </c>
      <c r="C354" s="28"/>
      <c r="D354" s="29"/>
      <c r="E354" s="28"/>
      <c r="F354" s="28"/>
      <c r="G354" s="30"/>
      <c r="H354" s="23" t="str">
        <f aca="false">IF(E354="","",IFERROR(INDEX(Lists!$C$2:$C$86,MATCH(E354,Lists!$A$2:$A$86,0)),"?"))</f>
        <v/>
      </c>
      <c r="I354" s="24" t="str">
        <f aca="false">IF(OR(C354="",E354=""),"",IF(H354="Yes",IFERROR(INDEX(Employees!$E$4:$E$43,MATCH(C354,Employees!$B$4:$B$43,0)),0),0))</f>
        <v/>
      </c>
      <c r="J354" s="25" t="str">
        <f aca="false">IF(G354="","",IF(H354="Yes",G354*I354,0))</f>
        <v/>
      </c>
      <c r="K354" s="25" t="str">
        <f aca="false">IF(OR(C354="",G354=""),"",G354*IFERROR(INDEX(Employees!$F$4:$F$43,MATCH(C354,Employees!$B$4:$B$43,0)),0))</f>
        <v/>
      </c>
      <c r="L354" s="28"/>
    </row>
    <row r="355" customFormat="false" ht="15" hidden="false" customHeight="false" outlineLevel="0" collapsed="false">
      <c r="A355" s="26"/>
      <c r="B355" s="27" t="str">
        <f aca="false">IF(A355="","",A355+7-WEEKDAY(A355,1)+1)</f>
        <v/>
      </c>
      <c r="C355" s="28"/>
      <c r="D355" s="29"/>
      <c r="E355" s="28"/>
      <c r="F355" s="28"/>
      <c r="G355" s="30"/>
      <c r="H355" s="31" t="str">
        <f aca="false">IF(E355="","",IFERROR(INDEX(Lists!$C$2:$C$86,MATCH(E355,Lists!$A$2:$A$86,0)),"?"))</f>
        <v/>
      </c>
      <c r="I355" s="32" t="str">
        <f aca="false">IF(OR(C355="",E355=""),"",IF(H355="Yes",IFERROR(INDEX(Employees!$E$4:$E$43,MATCH(C355,Employees!$B$4:$B$43,0)),0),0))</f>
        <v/>
      </c>
      <c r="J355" s="33" t="str">
        <f aca="false">IF(G355="","",IF(H355="Yes",G355*I355,0))</f>
        <v/>
      </c>
      <c r="K355" s="33" t="str">
        <f aca="false">IF(OR(C355="",G355=""),"",G355*IFERROR(INDEX(Employees!$F$4:$F$43,MATCH(C355,Employees!$B$4:$B$43,0)),0))</f>
        <v/>
      </c>
      <c r="L355" s="28"/>
    </row>
    <row r="356" customFormat="false" ht="15" hidden="false" customHeight="false" outlineLevel="0" collapsed="false">
      <c r="A356" s="26"/>
      <c r="B356" s="19" t="str">
        <f aca="false">IF(A356="","",A356+7-WEEKDAY(A356,1)+1)</f>
        <v/>
      </c>
      <c r="C356" s="28"/>
      <c r="D356" s="29"/>
      <c r="E356" s="28"/>
      <c r="F356" s="28"/>
      <c r="G356" s="30"/>
      <c r="H356" s="23" t="str">
        <f aca="false">IF(E356="","",IFERROR(INDEX(Lists!$C$2:$C$86,MATCH(E356,Lists!$A$2:$A$86,0)),"?"))</f>
        <v/>
      </c>
      <c r="I356" s="24" t="str">
        <f aca="false">IF(OR(C356="",E356=""),"",IF(H356="Yes",IFERROR(INDEX(Employees!$E$4:$E$43,MATCH(C356,Employees!$B$4:$B$43,0)),0),0))</f>
        <v/>
      </c>
      <c r="J356" s="25" t="str">
        <f aca="false">IF(G356="","",IF(H356="Yes",G356*I356,0))</f>
        <v/>
      </c>
      <c r="K356" s="25" t="str">
        <f aca="false">IF(OR(C356="",G356=""),"",G356*IFERROR(INDEX(Employees!$F$4:$F$43,MATCH(C356,Employees!$B$4:$B$43,0)),0))</f>
        <v/>
      </c>
      <c r="L356" s="28"/>
    </row>
    <row r="357" customFormat="false" ht="15" hidden="false" customHeight="false" outlineLevel="0" collapsed="false">
      <c r="A357" s="26"/>
      <c r="B357" s="27" t="str">
        <f aca="false">IF(A357="","",A357+7-WEEKDAY(A357,1)+1)</f>
        <v/>
      </c>
      <c r="C357" s="28"/>
      <c r="D357" s="29"/>
      <c r="E357" s="28"/>
      <c r="F357" s="28"/>
      <c r="G357" s="30"/>
      <c r="H357" s="31" t="str">
        <f aca="false">IF(E357="","",IFERROR(INDEX(Lists!$C$2:$C$86,MATCH(E357,Lists!$A$2:$A$86,0)),"?"))</f>
        <v/>
      </c>
      <c r="I357" s="32" t="str">
        <f aca="false">IF(OR(C357="",E357=""),"",IF(H357="Yes",IFERROR(INDEX(Employees!$E$4:$E$43,MATCH(C357,Employees!$B$4:$B$43,0)),0),0))</f>
        <v/>
      </c>
      <c r="J357" s="33" t="str">
        <f aca="false">IF(G357="","",IF(H357="Yes",G357*I357,0))</f>
        <v/>
      </c>
      <c r="K357" s="33" t="str">
        <f aca="false">IF(OR(C357="",G357=""),"",G357*IFERROR(INDEX(Employees!$F$4:$F$43,MATCH(C357,Employees!$B$4:$B$43,0)),0))</f>
        <v/>
      </c>
      <c r="L357" s="28"/>
    </row>
    <row r="358" customFormat="false" ht="15" hidden="false" customHeight="false" outlineLevel="0" collapsed="false">
      <c r="A358" s="26"/>
      <c r="B358" s="19" t="str">
        <f aca="false">IF(A358="","",A358+7-WEEKDAY(A358,1)+1)</f>
        <v/>
      </c>
      <c r="C358" s="28"/>
      <c r="D358" s="29"/>
      <c r="E358" s="28"/>
      <c r="F358" s="28"/>
      <c r="G358" s="30"/>
      <c r="H358" s="23" t="str">
        <f aca="false">IF(E358="","",IFERROR(INDEX(Lists!$C$2:$C$86,MATCH(E358,Lists!$A$2:$A$86,0)),"?"))</f>
        <v/>
      </c>
      <c r="I358" s="24" t="str">
        <f aca="false">IF(OR(C358="",E358=""),"",IF(H358="Yes",IFERROR(INDEX(Employees!$E$4:$E$43,MATCH(C358,Employees!$B$4:$B$43,0)),0),0))</f>
        <v/>
      </c>
      <c r="J358" s="25" t="str">
        <f aca="false">IF(G358="","",IF(H358="Yes",G358*I358,0))</f>
        <v/>
      </c>
      <c r="K358" s="25" t="str">
        <f aca="false">IF(OR(C358="",G358=""),"",G358*IFERROR(INDEX(Employees!$F$4:$F$43,MATCH(C358,Employees!$B$4:$B$43,0)),0))</f>
        <v/>
      </c>
      <c r="L358" s="28"/>
    </row>
    <row r="359" customFormat="false" ht="15" hidden="false" customHeight="false" outlineLevel="0" collapsed="false">
      <c r="A359" s="26"/>
      <c r="B359" s="27" t="str">
        <f aca="false">IF(A359="","",A359+7-WEEKDAY(A359,1)+1)</f>
        <v/>
      </c>
      <c r="C359" s="28"/>
      <c r="D359" s="29"/>
      <c r="E359" s="28"/>
      <c r="F359" s="28"/>
      <c r="G359" s="30"/>
      <c r="H359" s="31" t="str">
        <f aca="false">IF(E359="","",IFERROR(INDEX(Lists!$C$2:$C$86,MATCH(E359,Lists!$A$2:$A$86,0)),"?"))</f>
        <v/>
      </c>
      <c r="I359" s="32" t="str">
        <f aca="false">IF(OR(C359="",E359=""),"",IF(H359="Yes",IFERROR(INDEX(Employees!$E$4:$E$43,MATCH(C359,Employees!$B$4:$B$43,0)),0),0))</f>
        <v/>
      </c>
      <c r="J359" s="33" t="str">
        <f aca="false">IF(G359="","",IF(H359="Yes",G359*I359,0))</f>
        <v/>
      </c>
      <c r="K359" s="33" t="str">
        <f aca="false">IF(OR(C359="",G359=""),"",G359*IFERROR(INDEX(Employees!$F$4:$F$43,MATCH(C359,Employees!$B$4:$B$43,0)),0))</f>
        <v/>
      </c>
      <c r="L359" s="28"/>
    </row>
    <row r="360" customFormat="false" ht="15" hidden="false" customHeight="false" outlineLevel="0" collapsed="false">
      <c r="A360" s="26"/>
      <c r="B360" s="19" t="str">
        <f aca="false">IF(A360="","",A360+7-WEEKDAY(A360,1)+1)</f>
        <v/>
      </c>
      <c r="C360" s="28"/>
      <c r="D360" s="29"/>
      <c r="E360" s="28"/>
      <c r="F360" s="28"/>
      <c r="G360" s="30"/>
      <c r="H360" s="23" t="str">
        <f aca="false">IF(E360="","",IFERROR(INDEX(Lists!$C$2:$C$86,MATCH(E360,Lists!$A$2:$A$86,0)),"?"))</f>
        <v/>
      </c>
      <c r="I360" s="24" t="str">
        <f aca="false">IF(OR(C360="",E360=""),"",IF(H360="Yes",IFERROR(INDEX(Employees!$E$4:$E$43,MATCH(C360,Employees!$B$4:$B$43,0)),0),0))</f>
        <v/>
      </c>
      <c r="J360" s="25" t="str">
        <f aca="false">IF(G360="","",IF(H360="Yes",G360*I360,0))</f>
        <v/>
      </c>
      <c r="K360" s="25" t="str">
        <f aca="false">IF(OR(C360="",G360=""),"",G360*IFERROR(INDEX(Employees!$F$4:$F$43,MATCH(C360,Employees!$B$4:$B$43,0)),0))</f>
        <v/>
      </c>
      <c r="L360" s="28"/>
    </row>
    <row r="361" customFormat="false" ht="15" hidden="false" customHeight="false" outlineLevel="0" collapsed="false">
      <c r="A361" s="26"/>
      <c r="B361" s="27" t="str">
        <f aca="false">IF(A361="","",A361+7-WEEKDAY(A361,1)+1)</f>
        <v/>
      </c>
      <c r="C361" s="28"/>
      <c r="D361" s="29"/>
      <c r="E361" s="28"/>
      <c r="F361" s="28"/>
      <c r="G361" s="30"/>
      <c r="H361" s="31" t="str">
        <f aca="false">IF(E361="","",IFERROR(INDEX(Lists!$C$2:$C$86,MATCH(E361,Lists!$A$2:$A$86,0)),"?"))</f>
        <v/>
      </c>
      <c r="I361" s="32" t="str">
        <f aca="false">IF(OR(C361="",E361=""),"",IF(H361="Yes",IFERROR(INDEX(Employees!$E$4:$E$43,MATCH(C361,Employees!$B$4:$B$43,0)),0),0))</f>
        <v/>
      </c>
      <c r="J361" s="33" t="str">
        <f aca="false">IF(G361="","",IF(H361="Yes",G361*I361,0))</f>
        <v/>
      </c>
      <c r="K361" s="33" t="str">
        <f aca="false">IF(OR(C361="",G361=""),"",G361*IFERROR(INDEX(Employees!$F$4:$F$43,MATCH(C361,Employees!$B$4:$B$43,0)),0))</f>
        <v/>
      </c>
      <c r="L361" s="28"/>
    </row>
    <row r="362" customFormat="false" ht="15" hidden="false" customHeight="false" outlineLevel="0" collapsed="false">
      <c r="A362" s="26"/>
      <c r="B362" s="19" t="str">
        <f aca="false">IF(A362="","",A362+7-WEEKDAY(A362,1)+1)</f>
        <v/>
      </c>
      <c r="C362" s="28"/>
      <c r="D362" s="29"/>
      <c r="E362" s="28"/>
      <c r="F362" s="28"/>
      <c r="G362" s="30"/>
      <c r="H362" s="23" t="str">
        <f aca="false">IF(E362="","",IFERROR(INDEX(Lists!$C$2:$C$86,MATCH(E362,Lists!$A$2:$A$86,0)),"?"))</f>
        <v/>
      </c>
      <c r="I362" s="24" t="str">
        <f aca="false">IF(OR(C362="",E362=""),"",IF(H362="Yes",IFERROR(INDEX(Employees!$E$4:$E$43,MATCH(C362,Employees!$B$4:$B$43,0)),0),0))</f>
        <v/>
      </c>
      <c r="J362" s="25" t="str">
        <f aca="false">IF(G362="","",IF(H362="Yes",G362*I362,0))</f>
        <v/>
      </c>
      <c r="K362" s="25" t="str">
        <f aca="false">IF(OR(C362="",G362=""),"",G362*IFERROR(INDEX(Employees!$F$4:$F$43,MATCH(C362,Employees!$B$4:$B$43,0)),0))</f>
        <v/>
      </c>
      <c r="L362" s="28"/>
    </row>
    <row r="363" customFormat="false" ht="15" hidden="false" customHeight="false" outlineLevel="0" collapsed="false">
      <c r="A363" s="26"/>
      <c r="B363" s="27" t="str">
        <f aca="false">IF(A363="","",A363+7-WEEKDAY(A363,1)+1)</f>
        <v/>
      </c>
      <c r="C363" s="28"/>
      <c r="D363" s="29"/>
      <c r="E363" s="28"/>
      <c r="F363" s="28"/>
      <c r="G363" s="30"/>
      <c r="H363" s="31" t="str">
        <f aca="false">IF(E363="","",IFERROR(INDEX(Lists!$C$2:$C$86,MATCH(E363,Lists!$A$2:$A$86,0)),"?"))</f>
        <v/>
      </c>
      <c r="I363" s="32" t="str">
        <f aca="false">IF(OR(C363="",E363=""),"",IF(H363="Yes",IFERROR(INDEX(Employees!$E$4:$E$43,MATCH(C363,Employees!$B$4:$B$43,0)),0),0))</f>
        <v/>
      </c>
      <c r="J363" s="33" t="str">
        <f aca="false">IF(G363="","",IF(H363="Yes",G363*I363,0))</f>
        <v/>
      </c>
      <c r="K363" s="33" t="str">
        <f aca="false">IF(OR(C363="",G363=""),"",G363*IFERROR(INDEX(Employees!$F$4:$F$43,MATCH(C363,Employees!$B$4:$B$43,0)),0))</f>
        <v/>
      </c>
      <c r="L363" s="28"/>
    </row>
    <row r="364" customFormat="false" ht="15" hidden="false" customHeight="false" outlineLevel="0" collapsed="false">
      <c r="A364" s="26"/>
      <c r="B364" s="19" t="str">
        <f aca="false">IF(A364="","",A364+7-WEEKDAY(A364,1)+1)</f>
        <v/>
      </c>
      <c r="C364" s="28"/>
      <c r="D364" s="29"/>
      <c r="E364" s="28"/>
      <c r="F364" s="28"/>
      <c r="G364" s="30"/>
      <c r="H364" s="23" t="str">
        <f aca="false">IF(E364="","",IFERROR(INDEX(Lists!$C$2:$C$86,MATCH(E364,Lists!$A$2:$A$86,0)),"?"))</f>
        <v/>
      </c>
      <c r="I364" s="24" t="str">
        <f aca="false">IF(OR(C364="",E364=""),"",IF(H364="Yes",IFERROR(INDEX(Employees!$E$4:$E$43,MATCH(C364,Employees!$B$4:$B$43,0)),0),0))</f>
        <v/>
      </c>
      <c r="J364" s="25" t="str">
        <f aca="false">IF(G364="","",IF(H364="Yes",G364*I364,0))</f>
        <v/>
      </c>
      <c r="K364" s="25" t="str">
        <f aca="false">IF(OR(C364="",G364=""),"",G364*IFERROR(INDEX(Employees!$F$4:$F$43,MATCH(C364,Employees!$B$4:$B$43,0)),0))</f>
        <v/>
      </c>
      <c r="L364" s="28"/>
    </row>
    <row r="365" customFormat="false" ht="15" hidden="false" customHeight="false" outlineLevel="0" collapsed="false">
      <c r="A365" s="26"/>
      <c r="B365" s="27" t="str">
        <f aca="false">IF(A365="","",A365+7-WEEKDAY(A365,1)+1)</f>
        <v/>
      </c>
      <c r="C365" s="28"/>
      <c r="D365" s="29"/>
      <c r="E365" s="28"/>
      <c r="F365" s="28"/>
      <c r="G365" s="30"/>
      <c r="H365" s="31" t="str">
        <f aca="false">IF(E365="","",IFERROR(INDEX(Lists!$C$2:$C$86,MATCH(E365,Lists!$A$2:$A$86,0)),"?"))</f>
        <v/>
      </c>
      <c r="I365" s="32" t="str">
        <f aca="false">IF(OR(C365="",E365=""),"",IF(H365="Yes",IFERROR(INDEX(Employees!$E$4:$E$43,MATCH(C365,Employees!$B$4:$B$43,0)),0),0))</f>
        <v/>
      </c>
      <c r="J365" s="33" t="str">
        <f aca="false">IF(G365="","",IF(H365="Yes",G365*I365,0))</f>
        <v/>
      </c>
      <c r="K365" s="33" t="str">
        <f aca="false">IF(OR(C365="",G365=""),"",G365*IFERROR(INDEX(Employees!$F$4:$F$43,MATCH(C365,Employees!$B$4:$B$43,0)),0))</f>
        <v/>
      </c>
      <c r="L365" s="28"/>
    </row>
    <row r="366" customFormat="false" ht="15" hidden="false" customHeight="false" outlineLevel="0" collapsed="false">
      <c r="A366" s="26"/>
      <c r="B366" s="19" t="str">
        <f aca="false">IF(A366="","",A366+7-WEEKDAY(A366,1)+1)</f>
        <v/>
      </c>
      <c r="C366" s="28"/>
      <c r="D366" s="29"/>
      <c r="E366" s="28"/>
      <c r="F366" s="28"/>
      <c r="G366" s="30"/>
      <c r="H366" s="23" t="str">
        <f aca="false">IF(E366="","",IFERROR(INDEX(Lists!$C$2:$C$86,MATCH(E366,Lists!$A$2:$A$86,0)),"?"))</f>
        <v/>
      </c>
      <c r="I366" s="24" t="str">
        <f aca="false">IF(OR(C366="",E366=""),"",IF(H366="Yes",IFERROR(INDEX(Employees!$E$4:$E$43,MATCH(C366,Employees!$B$4:$B$43,0)),0),0))</f>
        <v/>
      </c>
      <c r="J366" s="25" t="str">
        <f aca="false">IF(G366="","",IF(H366="Yes",G366*I366,0))</f>
        <v/>
      </c>
      <c r="K366" s="25" t="str">
        <f aca="false">IF(OR(C366="",G366=""),"",G366*IFERROR(INDEX(Employees!$F$4:$F$43,MATCH(C366,Employees!$B$4:$B$43,0)),0))</f>
        <v/>
      </c>
      <c r="L366" s="28"/>
    </row>
    <row r="367" customFormat="false" ht="15" hidden="false" customHeight="false" outlineLevel="0" collapsed="false">
      <c r="A367" s="26"/>
      <c r="B367" s="27" t="str">
        <f aca="false">IF(A367="","",A367+7-WEEKDAY(A367,1)+1)</f>
        <v/>
      </c>
      <c r="C367" s="28"/>
      <c r="D367" s="29"/>
      <c r="E367" s="28"/>
      <c r="F367" s="28"/>
      <c r="G367" s="30"/>
      <c r="H367" s="31" t="str">
        <f aca="false">IF(E367="","",IFERROR(INDEX(Lists!$C$2:$C$86,MATCH(E367,Lists!$A$2:$A$86,0)),"?"))</f>
        <v/>
      </c>
      <c r="I367" s="32" t="str">
        <f aca="false">IF(OR(C367="",E367=""),"",IF(H367="Yes",IFERROR(INDEX(Employees!$E$4:$E$43,MATCH(C367,Employees!$B$4:$B$43,0)),0),0))</f>
        <v/>
      </c>
      <c r="J367" s="33" t="str">
        <f aca="false">IF(G367="","",IF(H367="Yes",G367*I367,0))</f>
        <v/>
      </c>
      <c r="K367" s="33" t="str">
        <f aca="false">IF(OR(C367="",G367=""),"",G367*IFERROR(INDEX(Employees!$F$4:$F$43,MATCH(C367,Employees!$B$4:$B$43,0)),0))</f>
        <v/>
      </c>
      <c r="L367" s="28"/>
    </row>
    <row r="368" customFormat="false" ht="15" hidden="false" customHeight="false" outlineLevel="0" collapsed="false">
      <c r="A368" s="26"/>
      <c r="B368" s="19" t="str">
        <f aca="false">IF(A368="","",A368+7-WEEKDAY(A368,1)+1)</f>
        <v/>
      </c>
      <c r="C368" s="28"/>
      <c r="D368" s="29"/>
      <c r="E368" s="28"/>
      <c r="F368" s="28"/>
      <c r="G368" s="30"/>
      <c r="H368" s="23" t="str">
        <f aca="false">IF(E368="","",IFERROR(INDEX(Lists!$C$2:$C$86,MATCH(E368,Lists!$A$2:$A$86,0)),"?"))</f>
        <v/>
      </c>
      <c r="I368" s="24" t="str">
        <f aca="false">IF(OR(C368="",E368=""),"",IF(H368="Yes",IFERROR(INDEX(Employees!$E$4:$E$43,MATCH(C368,Employees!$B$4:$B$43,0)),0),0))</f>
        <v/>
      </c>
      <c r="J368" s="25" t="str">
        <f aca="false">IF(G368="","",IF(H368="Yes",G368*I368,0))</f>
        <v/>
      </c>
      <c r="K368" s="25" t="str">
        <f aca="false">IF(OR(C368="",G368=""),"",G368*IFERROR(INDEX(Employees!$F$4:$F$43,MATCH(C368,Employees!$B$4:$B$43,0)),0))</f>
        <v/>
      </c>
      <c r="L368" s="28"/>
    </row>
    <row r="369" customFormat="false" ht="15" hidden="false" customHeight="false" outlineLevel="0" collapsed="false">
      <c r="A369" s="26"/>
      <c r="B369" s="27" t="str">
        <f aca="false">IF(A369="","",A369+7-WEEKDAY(A369,1)+1)</f>
        <v/>
      </c>
      <c r="C369" s="28"/>
      <c r="D369" s="29"/>
      <c r="E369" s="28"/>
      <c r="F369" s="28"/>
      <c r="G369" s="30"/>
      <c r="H369" s="31" t="str">
        <f aca="false">IF(E369="","",IFERROR(INDEX(Lists!$C$2:$C$86,MATCH(E369,Lists!$A$2:$A$86,0)),"?"))</f>
        <v/>
      </c>
      <c r="I369" s="32" t="str">
        <f aca="false">IF(OR(C369="",E369=""),"",IF(H369="Yes",IFERROR(INDEX(Employees!$E$4:$E$43,MATCH(C369,Employees!$B$4:$B$43,0)),0),0))</f>
        <v/>
      </c>
      <c r="J369" s="33" t="str">
        <f aca="false">IF(G369="","",IF(H369="Yes",G369*I369,0))</f>
        <v/>
      </c>
      <c r="K369" s="33" t="str">
        <f aca="false">IF(OR(C369="",G369=""),"",G369*IFERROR(INDEX(Employees!$F$4:$F$43,MATCH(C369,Employees!$B$4:$B$43,0)),0))</f>
        <v/>
      </c>
      <c r="L369" s="28"/>
    </row>
    <row r="370" customFormat="false" ht="15" hidden="false" customHeight="false" outlineLevel="0" collapsed="false">
      <c r="A370" s="26"/>
      <c r="B370" s="19" t="str">
        <f aca="false">IF(A370="","",A370+7-WEEKDAY(A370,1)+1)</f>
        <v/>
      </c>
      <c r="C370" s="28"/>
      <c r="D370" s="29"/>
      <c r="E370" s="28"/>
      <c r="F370" s="28"/>
      <c r="G370" s="30"/>
      <c r="H370" s="23" t="str">
        <f aca="false">IF(E370="","",IFERROR(INDEX(Lists!$C$2:$C$86,MATCH(E370,Lists!$A$2:$A$86,0)),"?"))</f>
        <v/>
      </c>
      <c r="I370" s="24" t="str">
        <f aca="false">IF(OR(C370="",E370=""),"",IF(H370="Yes",IFERROR(INDEX(Employees!$E$4:$E$43,MATCH(C370,Employees!$B$4:$B$43,0)),0),0))</f>
        <v/>
      </c>
      <c r="J370" s="25" t="str">
        <f aca="false">IF(G370="","",IF(H370="Yes",G370*I370,0))</f>
        <v/>
      </c>
      <c r="K370" s="25" t="str">
        <f aca="false">IF(OR(C370="",G370=""),"",G370*IFERROR(INDEX(Employees!$F$4:$F$43,MATCH(C370,Employees!$B$4:$B$43,0)),0))</f>
        <v/>
      </c>
      <c r="L370" s="28"/>
    </row>
    <row r="371" customFormat="false" ht="15" hidden="false" customHeight="false" outlineLevel="0" collapsed="false">
      <c r="A371" s="26"/>
      <c r="B371" s="27" t="str">
        <f aca="false">IF(A371="","",A371+7-WEEKDAY(A371,1)+1)</f>
        <v/>
      </c>
      <c r="C371" s="28"/>
      <c r="D371" s="29"/>
      <c r="E371" s="28"/>
      <c r="F371" s="28"/>
      <c r="G371" s="30"/>
      <c r="H371" s="31" t="str">
        <f aca="false">IF(E371="","",IFERROR(INDEX(Lists!$C$2:$C$86,MATCH(E371,Lists!$A$2:$A$86,0)),"?"))</f>
        <v/>
      </c>
      <c r="I371" s="32" t="str">
        <f aca="false">IF(OR(C371="",E371=""),"",IF(H371="Yes",IFERROR(INDEX(Employees!$E$4:$E$43,MATCH(C371,Employees!$B$4:$B$43,0)),0),0))</f>
        <v/>
      </c>
      <c r="J371" s="33" t="str">
        <f aca="false">IF(G371="","",IF(H371="Yes",G371*I371,0))</f>
        <v/>
      </c>
      <c r="K371" s="33" t="str">
        <f aca="false">IF(OR(C371="",G371=""),"",G371*IFERROR(INDEX(Employees!$F$4:$F$43,MATCH(C371,Employees!$B$4:$B$43,0)),0))</f>
        <v/>
      </c>
      <c r="L371" s="28"/>
    </row>
    <row r="372" customFormat="false" ht="15" hidden="false" customHeight="false" outlineLevel="0" collapsed="false">
      <c r="A372" s="26"/>
      <c r="B372" s="19" t="str">
        <f aca="false">IF(A372="","",A372+7-WEEKDAY(A372,1)+1)</f>
        <v/>
      </c>
      <c r="C372" s="28"/>
      <c r="D372" s="29"/>
      <c r="E372" s="28"/>
      <c r="F372" s="28"/>
      <c r="G372" s="30"/>
      <c r="H372" s="23" t="str">
        <f aca="false">IF(E372="","",IFERROR(INDEX(Lists!$C$2:$C$86,MATCH(E372,Lists!$A$2:$A$86,0)),"?"))</f>
        <v/>
      </c>
      <c r="I372" s="24" t="str">
        <f aca="false">IF(OR(C372="",E372=""),"",IF(H372="Yes",IFERROR(INDEX(Employees!$E$4:$E$43,MATCH(C372,Employees!$B$4:$B$43,0)),0),0))</f>
        <v/>
      </c>
      <c r="J372" s="25" t="str">
        <f aca="false">IF(G372="","",IF(H372="Yes",G372*I372,0))</f>
        <v/>
      </c>
      <c r="K372" s="25" t="str">
        <f aca="false">IF(OR(C372="",G372=""),"",G372*IFERROR(INDEX(Employees!$F$4:$F$43,MATCH(C372,Employees!$B$4:$B$43,0)),0))</f>
        <v/>
      </c>
      <c r="L372" s="28"/>
    </row>
    <row r="373" customFormat="false" ht="15" hidden="false" customHeight="false" outlineLevel="0" collapsed="false">
      <c r="A373" s="26"/>
      <c r="B373" s="27" t="str">
        <f aca="false">IF(A373="","",A373+7-WEEKDAY(A373,1)+1)</f>
        <v/>
      </c>
      <c r="C373" s="28"/>
      <c r="D373" s="29"/>
      <c r="E373" s="28"/>
      <c r="F373" s="28"/>
      <c r="G373" s="30"/>
      <c r="H373" s="31" t="str">
        <f aca="false">IF(E373="","",IFERROR(INDEX(Lists!$C$2:$C$86,MATCH(E373,Lists!$A$2:$A$86,0)),"?"))</f>
        <v/>
      </c>
      <c r="I373" s="32" t="str">
        <f aca="false">IF(OR(C373="",E373=""),"",IF(H373="Yes",IFERROR(INDEX(Employees!$E$4:$E$43,MATCH(C373,Employees!$B$4:$B$43,0)),0),0))</f>
        <v/>
      </c>
      <c r="J373" s="33" t="str">
        <f aca="false">IF(G373="","",IF(H373="Yes",G373*I373,0))</f>
        <v/>
      </c>
      <c r="K373" s="33" t="str">
        <f aca="false">IF(OR(C373="",G373=""),"",G373*IFERROR(INDEX(Employees!$F$4:$F$43,MATCH(C373,Employees!$B$4:$B$43,0)),0))</f>
        <v/>
      </c>
      <c r="L373" s="28"/>
    </row>
    <row r="374" customFormat="false" ht="15" hidden="false" customHeight="false" outlineLevel="0" collapsed="false">
      <c r="A374" s="26"/>
      <c r="B374" s="19" t="str">
        <f aca="false">IF(A374="","",A374+7-WEEKDAY(A374,1)+1)</f>
        <v/>
      </c>
      <c r="C374" s="28"/>
      <c r="D374" s="29"/>
      <c r="E374" s="28"/>
      <c r="F374" s="28"/>
      <c r="G374" s="30"/>
      <c r="H374" s="23" t="str">
        <f aca="false">IF(E374="","",IFERROR(INDEX(Lists!$C$2:$C$86,MATCH(E374,Lists!$A$2:$A$86,0)),"?"))</f>
        <v/>
      </c>
      <c r="I374" s="24" t="str">
        <f aca="false">IF(OR(C374="",E374=""),"",IF(H374="Yes",IFERROR(INDEX(Employees!$E$4:$E$43,MATCH(C374,Employees!$B$4:$B$43,0)),0),0))</f>
        <v/>
      </c>
      <c r="J374" s="25" t="str">
        <f aca="false">IF(G374="","",IF(H374="Yes",G374*I374,0))</f>
        <v/>
      </c>
      <c r="K374" s="25" t="str">
        <f aca="false">IF(OR(C374="",G374=""),"",G374*IFERROR(INDEX(Employees!$F$4:$F$43,MATCH(C374,Employees!$B$4:$B$43,0)),0))</f>
        <v/>
      </c>
      <c r="L374" s="28"/>
    </row>
    <row r="375" customFormat="false" ht="15" hidden="false" customHeight="false" outlineLevel="0" collapsed="false">
      <c r="A375" s="26"/>
      <c r="B375" s="27" t="str">
        <f aca="false">IF(A375="","",A375+7-WEEKDAY(A375,1)+1)</f>
        <v/>
      </c>
      <c r="C375" s="28"/>
      <c r="D375" s="29"/>
      <c r="E375" s="28"/>
      <c r="F375" s="28"/>
      <c r="G375" s="30"/>
      <c r="H375" s="31" t="str">
        <f aca="false">IF(E375="","",IFERROR(INDEX(Lists!$C$2:$C$86,MATCH(E375,Lists!$A$2:$A$86,0)),"?"))</f>
        <v/>
      </c>
      <c r="I375" s="32" t="str">
        <f aca="false">IF(OR(C375="",E375=""),"",IF(H375="Yes",IFERROR(INDEX(Employees!$E$4:$E$43,MATCH(C375,Employees!$B$4:$B$43,0)),0),0))</f>
        <v/>
      </c>
      <c r="J375" s="33" t="str">
        <f aca="false">IF(G375="","",IF(H375="Yes",G375*I375,0))</f>
        <v/>
      </c>
      <c r="K375" s="33" t="str">
        <f aca="false">IF(OR(C375="",G375=""),"",G375*IFERROR(INDEX(Employees!$F$4:$F$43,MATCH(C375,Employees!$B$4:$B$43,0)),0))</f>
        <v/>
      </c>
      <c r="L375" s="28"/>
    </row>
    <row r="376" customFormat="false" ht="15" hidden="false" customHeight="false" outlineLevel="0" collapsed="false">
      <c r="A376" s="26"/>
      <c r="B376" s="19" t="str">
        <f aca="false">IF(A376="","",A376+7-WEEKDAY(A376,1)+1)</f>
        <v/>
      </c>
      <c r="C376" s="28"/>
      <c r="D376" s="29"/>
      <c r="E376" s="28"/>
      <c r="F376" s="28"/>
      <c r="G376" s="30"/>
      <c r="H376" s="23" t="str">
        <f aca="false">IF(E376="","",IFERROR(INDEX(Lists!$C$2:$C$86,MATCH(E376,Lists!$A$2:$A$86,0)),"?"))</f>
        <v/>
      </c>
      <c r="I376" s="24" t="str">
        <f aca="false">IF(OR(C376="",E376=""),"",IF(H376="Yes",IFERROR(INDEX(Employees!$E$4:$E$43,MATCH(C376,Employees!$B$4:$B$43,0)),0),0))</f>
        <v/>
      </c>
      <c r="J376" s="25" t="str">
        <f aca="false">IF(G376="","",IF(H376="Yes",G376*I376,0))</f>
        <v/>
      </c>
      <c r="K376" s="25" t="str">
        <f aca="false">IF(OR(C376="",G376=""),"",G376*IFERROR(INDEX(Employees!$F$4:$F$43,MATCH(C376,Employees!$B$4:$B$43,0)),0))</f>
        <v/>
      </c>
      <c r="L376" s="28"/>
    </row>
    <row r="377" customFormat="false" ht="15" hidden="false" customHeight="false" outlineLevel="0" collapsed="false">
      <c r="A377" s="26"/>
      <c r="B377" s="27" t="str">
        <f aca="false">IF(A377="","",A377+7-WEEKDAY(A377,1)+1)</f>
        <v/>
      </c>
      <c r="C377" s="28"/>
      <c r="D377" s="29"/>
      <c r="E377" s="28"/>
      <c r="F377" s="28"/>
      <c r="G377" s="30"/>
      <c r="H377" s="31" t="str">
        <f aca="false">IF(E377="","",IFERROR(INDEX(Lists!$C$2:$C$86,MATCH(E377,Lists!$A$2:$A$86,0)),"?"))</f>
        <v/>
      </c>
      <c r="I377" s="32" t="str">
        <f aca="false">IF(OR(C377="",E377=""),"",IF(H377="Yes",IFERROR(INDEX(Employees!$E$4:$E$43,MATCH(C377,Employees!$B$4:$B$43,0)),0),0))</f>
        <v/>
      </c>
      <c r="J377" s="33" t="str">
        <f aca="false">IF(G377="","",IF(H377="Yes",G377*I377,0))</f>
        <v/>
      </c>
      <c r="K377" s="33" t="str">
        <f aca="false">IF(OR(C377="",G377=""),"",G377*IFERROR(INDEX(Employees!$F$4:$F$43,MATCH(C377,Employees!$B$4:$B$43,0)),0))</f>
        <v/>
      </c>
      <c r="L377" s="28"/>
    </row>
    <row r="378" customFormat="false" ht="15" hidden="false" customHeight="false" outlineLevel="0" collapsed="false">
      <c r="A378" s="26"/>
      <c r="B378" s="19" t="str">
        <f aca="false">IF(A378="","",A378+7-WEEKDAY(A378,1)+1)</f>
        <v/>
      </c>
      <c r="C378" s="28"/>
      <c r="D378" s="29"/>
      <c r="E378" s="28"/>
      <c r="F378" s="28"/>
      <c r="G378" s="30"/>
      <c r="H378" s="23" t="str">
        <f aca="false">IF(E378="","",IFERROR(INDEX(Lists!$C$2:$C$86,MATCH(E378,Lists!$A$2:$A$86,0)),"?"))</f>
        <v/>
      </c>
      <c r="I378" s="24" t="str">
        <f aca="false">IF(OR(C378="",E378=""),"",IF(H378="Yes",IFERROR(INDEX(Employees!$E$4:$E$43,MATCH(C378,Employees!$B$4:$B$43,0)),0),0))</f>
        <v/>
      </c>
      <c r="J378" s="25" t="str">
        <f aca="false">IF(G378="","",IF(H378="Yes",G378*I378,0))</f>
        <v/>
      </c>
      <c r="K378" s="25" t="str">
        <f aca="false">IF(OR(C378="",G378=""),"",G378*IFERROR(INDEX(Employees!$F$4:$F$43,MATCH(C378,Employees!$B$4:$B$43,0)),0))</f>
        <v/>
      </c>
      <c r="L378" s="28"/>
    </row>
    <row r="379" customFormat="false" ht="15" hidden="false" customHeight="false" outlineLevel="0" collapsed="false">
      <c r="A379" s="26"/>
      <c r="B379" s="27" t="str">
        <f aca="false">IF(A379="","",A379+7-WEEKDAY(A379,1)+1)</f>
        <v/>
      </c>
      <c r="C379" s="28"/>
      <c r="D379" s="29"/>
      <c r="E379" s="28"/>
      <c r="F379" s="28"/>
      <c r="G379" s="30"/>
      <c r="H379" s="31" t="str">
        <f aca="false">IF(E379="","",IFERROR(INDEX(Lists!$C$2:$C$86,MATCH(E379,Lists!$A$2:$A$86,0)),"?"))</f>
        <v/>
      </c>
      <c r="I379" s="32" t="str">
        <f aca="false">IF(OR(C379="",E379=""),"",IF(H379="Yes",IFERROR(INDEX(Employees!$E$4:$E$43,MATCH(C379,Employees!$B$4:$B$43,0)),0),0))</f>
        <v/>
      </c>
      <c r="J379" s="33" t="str">
        <f aca="false">IF(G379="","",IF(H379="Yes",G379*I379,0))</f>
        <v/>
      </c>
      <c r="K379" s="33" t="str">
        <f aca="false">IF(OR(C379="",G379=""),"",G379*IFERROR(INDEX(Employees!$F$4:$F$43,MATCH(C379,Employees!$B$4:$B$43,0)),0))</f>
        <v/>
      </c>
      <c r="L379" s="28"/>
    </row>
    <row r="380" customFormat="false" ht="15" hidden="false" customHeight="false" outlineLevel="0" collapsed="false">
      <c r="A380" s="26"/>
      <c r="B380" s="19" t="str">
        <f aca="false">IF(A380="","",A380+7-WEEKDAY(A380,1)+1)</f>
        <v/>
      </c>
      <c r="C380" s="28"/>
      <c r="D380" s="29"/>
      <c r="E380" s="28"/>
      <c r="F380" s="28"/>
      <c r="G380" s="30"/>
      <c r="H380" s="23" t="str">
        <f aca="false">IF(E380="","",IFERROR(INDEX(Lists!$C$2:$C$86,MATCH(E380,Lists!$A$2:$A$86,0)),"?"))</f>
        <v/>
      </c>
      <c r="I380" s="24" t="str">
        <f aca="false">IF(OR(C380="",E380=""),"",IF(H380="Yes",IFERROR(INDEX(Employees!$E$4:$E$43,MATCH(C380,Employees!$B$4:$B$43,0)),0),0))</f>
        <v/>
      </c>
      <c r="J380" s="25" t="str">
        <f aca="false">IF(G380="","",IF(H380="Yes",G380*I380,0))</f>
        <v/>
      </c>
      <c r="K380" s="25" t="str">
        <f aca="false">IF(OR(C380="",G380=""),"",G380*IFERROR(INDEX(Employees!$F$4:$F$43,MATCH(C380,Employees!$B$4:$B$43,0)),0))</f>
        <v/>
      </c>
      <c r="L380" s="28"/>
    </row>
    <row r="381" customFormat="false" ht="15" hidden="false" customHeight="false" outlineLevel="0" collapsed="false">
      <c r="A381" s="26"/>
      <c r="B381" s="27" t="str">
        <f aca="false">IF(A381="","",A381+7-WEEKDAY(A381,1)+1)</f>
        <v/>
      </c>
      <c r="C381" s="28"/>
      <c r="D381" s="29"/>
      <c r="E381" s="28"/>
      <c r="F381" s="28"/>
      <c r="G381" s="30"/>
      <c r="H381" s="31" t="str">
        <f aca="false">IF(E381="","",IFERROR(INDEX(Lists!$C$2:$C$86,MATCH(E381,Lists!$A$2:$A$86,0)),"?"))</f>
        <v/>
      </c>
      <c r="I381" s="32" t="str">
        <f aca="false">IF(OR(C381="",E381=""),"",IF(H381="Yes",IFERROR(INDEX(Employees!$E$4:$E$43,MATCH(C381,Employees!$B$4:$B$43,0)),0),0))</f>
        <v/>
      </c>
      <c r="J381" s="33" t="str">
        <f aca="false">IF(G381="","",IF(H381="Yes",G381*I381,0))</f>
        <v/>
      </c>
      <c r="K381" s="33" t="str">
        <f aca="false">IF(OR(C381="",G381=""),"",G381*IFERROR(INDEX(Employees!$F$4:$F$43,MATCH(C381,Employees!$B$4:$B$43,0)),0))</f>
        <v/>
      </c>
      <c r="L381" s="28"/>
    </row>
    <row r="382" customFormat="false" ht="15" hidden="false" customHeight="false" outlineLevel="0" collapsed="false">
      <c r="A382" s="26"/>
      <c r="B382" s="19" t="str">
        <f aca="false">IF(A382="","",A382+7-WEEKDAY(A382,1)+1)</f>
        <v/>
      </c>
      <c r="C382" s="28"/>
      <c r="D382" s="29"/>
      <c r="E382" s="28"/>
      <c r="F382" s="28"/>
      <c r="G382" s="30"/>
      <c r="H382" s="23" t="str">
        <f aca="false">IF(E382="","",IFERROR(INDEX(Lists!$C$2:$C$86,MATCH(E382,Lists!$A$2:$A$86,0)),"?"))</f>
        <v/>
      </c>
      <c r="I382" s="24" t="str">
        <f aca="false">IF(OR(C382="",E382=""),"",IF(H382="Yes",IFERROR(INDEX(Employees!$E$4:$E$43,MATCH(C382,Employees!$B$4:$B$43,0)),0),0))</f>
        <v/>
      </c>
      <c r="J382" s="25" t="str">
        <f aca="false">IF(G382="","",IF(H382="Yes",G382*I382,0))</f>
        <v/>
      </c>
      <c r="K382" s="25" t="str">
        <f aca="false">IF(OR(C382="",G382=""),"",G382*IFERROR(INDEX(Employees!$F$4:$F$43,MATCH(C382,Employees!$B$4:$B$43,0)),0))</f>
        <v/>
      </c>
      <c r="L382" s="28"/>
    </row>
    <row r="383" customFormat="false" ht="15" hidden="false" customHeight="false" outlineLevel="0" collapsed="false">
      <c r="A383" s="26"/>
      <c r="B383" s="27" t="str">
        <f aca="false">IF(A383="","",A383+7-WEEKDAY(A383,1)+1)</f>
        <v/>
      </c>
      <c r="C383" s="28"/>
      <c r="D383" s="29"/>
      <c r="E383" s="28"/>
      <c r="F383" s="28"/>
      <c r="G383" s="30"/>
      <c r="H383" s="31" t="str">
        <f aca="false">IF(E383="","",IFERROR(INDEX(Lists!$C$2:$C$86,MATCH(E383,Lists!$A$2:$A$86,0)),"?"))</f>
        <v/>
      </c>
      <c r="I383" s="32" t="str">
        <f aca="false">IF(OR(C383="",E383=""),"",IF(H383="Yes",IFERROR(INDEX(Employees!$E$4:$E$43,MATCH(C383,Employees!$B$4:$B$43,0)),0),0))</f>
        <v/>
      </c>
      <c r="J383" s="33" t="str">
        <f aca="false">IF(G383="","",IF(H383="Yes",G383*I383,0))</f>
        <v/>
      </c>
      <c r="K383" s="33" t="str">
        <f aca="false">IF(OR(C383="",G383=""),"",G383*IFERROR(INDEX(Employees!$F$4:$F$43,MATCH(C383,Employees!$B$4:$B$43,0)),0))</f>
        <v/>
      </c>
      <c r="L383" s="28"/>
    </row>
    <row r="384" customFormat="false" ht="15" hidden="false" customHeight="false" outlineLevel="0" collapsed="false">
      <c r="A384" s="26"/>
      <c r="B384" s="19" t="str">
        <f aca="false">IF(A384="","",A384+7-WEEKDAY(A384,1)+1)</f>
        <v/>
      </c>
      <c r="C384" s="28"/>
      <c r="D384" s="29"/>
      <c r="E384" s="28"/>
      <c r="F384" s="28"/>
      <c r="G384" s="30"/>
      <c r="H384" s="23" t="str">
        <f aca="false">IF(E384="","",IFERROR(INDEX(Lists!$C$2:$C$86,MATCH(E384,Lists!$A$2:$A$86,0)),"?"))</f>
        <v/>
      </c>
      <c r="I384" s="24" t="str">
        <f aca="false">IF(OR(C384="",E384=""),"",IF(H384="Yes",IFERROR(INDEX(Employees!$E$4:$E$43,MATCH(C384,Employees!$B$4:$B$43,0)),0),0))</f>
        <v/>
      </c>
      <c r="J384" s="25" t="str">
        <f aca="false">IF(G384="","",IF(H384="Yes",G384*I384,0))</f>
        <v/>
      </c>
      <c r="K384" s="25" t="str">
        <f aca="false">IF(OR(C384="",G384=""),"",G384*IFERROR(INDEX(Employees!$F$4:$F$43,MATCH(C384,Employees!$B$4:$B$43,0)),0))</f>
        <v/>
      </c>
      <c r="L384" s="28"/>
    </row>
    <row r="385" customFormat="false" ht="15" hidden="false" customHeight="false" outlineLevel="0" collapsed="false">
      <c r="A385" s="26"/>
      <c r="B385" s="27" t="str">
        <f aca="false">IF(A385="","",A385+7-WEEKDAY(A385,1)+1)</f>
        <v/>
      </c>
      <c r="C385" s="28"/>
      <c r="D385" s="29"/>
      <c r="E385" s="28"/>
      <c r="F385" s="28"/>
      <c r="G385" s="30"/>
      <c r="H385" s="31" t="str">
        <f aca="false">IF(E385="","",IFERROR(INDEX(Lists!$C$2:$C$86,MATCH(E385,Lists!$A$2:$A$86,0)),"?"))</f>
        <v/>
      </c>
      <c r="I385" s="32" t="str">
        <f aca="false">IF(OR(C385="",E385=""),"",IF(H385="Yes",IFERROR(INDEX(Employees!$E$4:$E$43,MATCH(C385,Employees!$B$4:$B$43,0)),0),0))</f>
        <v/>
      </c>
      <c r="J385" s="33" t="str">
        <f aca="false">IF(G385="","",IF(H385="Yes",G385*I385,0))</f>
        <v/>
      </c>
      <c r="K385" s="33" t="str">
        <f aca="false">IF(OR(C385="",G385=""),"",G385*IFERROR(INDEX(Employees!$F$4:$F$43,MATCH(C385,Employees!$B$4:$B$43,0)),0))</f>
        <v/>
      </c>
      <c r="L385" s="28"/>
    </row>
    <row r="386" customFormat="false" ht="15" hidden="false" customHeight="false" outlineLevel="0" collapsed="false">
      <c r="A386" s="26"/>
      <c r="B386" s="19" t="str">
        <f aca="false">IF(A386="","",A386+7-WEEKDAY(A386,1)+1)</f>
        <v/>
      </c>
      <c r="C386" s="28"/>
      <c r="D386" s="29"/>
      <c r="E386" s="28"/>
      <c r="F386" s="28"/>
      <c r="G386" s="30"/>
      <c r="H386" s="23" t="str">
        <f aca="false">IF(E386="","",IFERROR(INDEX(Lists!$C$2:$C$86,MATCH(E386,Lists!$A$2:$A$86,0)),"?"))</f>
        <v/>
      </c>
      <c r="I386" s="24" t="str">
        <f aca="false">IF(OR(C386="",E386=""),"",IF(H386="Yes",IFERROR(INDEX(Employees!$E$4:$E$43,MATCH(C386,Employees!$B$4:$B$43,0)),0),0))</f>
        <v/>
      </c>
      <c r="J386" s="25" t="str">
        <f aca="false">IF(G386="","",IF(H386="Yes",G386*I386,0))</f>
        <v/>
      </c>
      <c r="K386" s="25" t="str">
        <f aca="false">IF(OR(C386="",G386=""),"",G386*IFERROR(INDEX(Employees!$F$4:$F$43,MATCH(C386,Employees!$B$4:$B$43,0)),0))</f>
        <v/>
      </c>
      <c r="L386" s="28"/>
    </row>
    <row r="387" customFormat="false" ht="15" hidden="false" customHeight="false" outlineLevel="0" collapsed="false">
      <c r="A387" s="26"/>
      <c r="B387" s="27" t="str">
        <f aca="false">IF(A387="","",A387+7-WEEKDAY(A387,1)+1)</f>
        <v/>
      </c>
      <c r="C387" s="28"/>
      <c r="D387" s="29"/>
      <c r="E387" s="28"/>
      <c r="F387" s="28"/>
      <c r="G387" s="30"/>
      <c r="H387" s="31" t="str">
        <f aca="false">IF(E387="","",IFERROR(INDEX(Lists!$C$2:$C$86,MATCH(E387,Lists!$A$2:$A$86,0)),"?"))</f>
        <v/>
      </c>
      <c r="I387" s="32" t="str">
        <f aca="false">IF(OR(C387="",E387=""),"",IF(H387="Yes",IFERROR(INDEX(Employees!$E$4:$E$43,MATCH(C387,Employees!$B$4:$B$43,0)),0),0))</f>
        <v/>
      </c>
      <c r="J387" s="33" t="str">
        <f aca="false">IF(G387="","",IF(H387="Yes",G387*I387,0))</f>
        <v/>
      </c>
      <c r="K387" s="33" t="str">
        <f aca="false">IF(OR(C387="",G387=""),"",G387*IFERROR(INDEX(Employees!$F$4:$F$43,MATCH(C387,Employees!$B$4:$B$43,0)),0))</f>
        <v/>
      </c>
      <c r="L387" s="28"/>
    </row>
    <row r="388" customFormat="false" ht="15" hidden="false" customHeight="false" outlineLevel="0" collapsed="false">
      <c r="A388" s="26"/>
      <c r="B388" s="19" t="str">
        <f aca="false">IF(A388="","",A388+7-WEEKDAY(A388,1)+1)</f>
        <v/>
      </c>
      <c r="C388" s="28"/>
      <c r="D388" s="29"/>
      <c r="E388" s="28"/>
      <c r="F388" s="28"/>
      <c r="G388" s="30"/>
      <c r="H388" s="23" t="str">
        <f aca="false">IF(E388="","",IFERROR(INDEX(Lists!$C$2:$C$86,MATCH(E388,Lists!$A$2:$A$86,0)),"?"))</f>
        <v/>
      </c>
      <c r="I388" s="24" t="str">
        <f aca="false">IF(OR(C388="",E388=""),"",IF(H388="Yes",IFERROR(INDEX(Employees!$E$4:$E$43,MATCH(C388,Employees!$B$4:$B$43,0)),0),0))</f>
        <v/>
      </c>
      <c r="J388" s="25" t="str">
        <f aca="false">IF(G388="","",IF(H388="Yes",G388*I388,0))</f>
        <v/>
      </c>
      <c r="K388" s="25" t="str">
        <f aca="false">IF(OR(C388="",G388=""),"",G388*IFERROR(INDEX(Employees!$F$4:$F$43,MATCH(C388,Employees!$B$4:$B$43,0)),0))</f>
        <v/>
      </c>
      <c r="L388" s="28"/>
    </row>
    <row r="389" customFormat="false" ht="15" hidden="false" customHeight="false" outlineLevel="0" collapsed="false">
      <c r="A389" s="26"/>
      <c r="B389" s="27" t="str">
        <f aca="false">IF(A389="","",A389+7-WEEKDAY(A389,1)+1)</f>
        <v/>
      </c>
      <c r="C389" s="28"/>
      <c r="D389" s="29"/>
      <c r="E389" s="28"/>
      <c r="F389" s="28"/>
      <c r="G389" s="30"/>
      <c r="H389" s="31" t="str">
        <f aca="false">IF(E389="","",IFERROR(INDEX(Lists!$C$2:$C$86,MATCH(E389,Lists!$A$2:$A$86,0)),"?"))</f>
        <v/>
      </c>
      <c r="I389" s="32" t="str">
        <f aca="false">IF(OR(C389="",E389=""),"",IF(H389="Yes",IFERROR(INDEX(Employees!$E$4:$E$43,MATCH(C389,Employees!$B$4:$B$43,0)),0),0))</f>
        <v/>
      </c>
      <c r="J389" s="33" t="str">
        <f aca="false">IF(G389="","",IF(H389="Yes",G389*I389,0))</f>
        <v/>
      </c>
      <c r="K389" s="33" t="str">
        <f aca="false">IF(OR(C389="",G389=""),"",G389*IFERROR(INDEX(Employees!$F$4:$F$43,MATCH(C389,Employees!$B$4:$B$43,0)),0))</f>
        <v/>
      </c>
      <c r="L389" s="28"/>
    </row>
    <row r="390" customFormat="false" ht="15" hidden="false" customHeight="false" outlineLevel="0" collapsed="false">
      <c r="A390" s="26"/>
      <c r="B390" s="19" t="str">
        <f aca="false">IF(A390="","",A390+7-WEEKDAY(A390,1)+1)</f>
        <v/>
      </c>
      <c r="C390" s="28"/>
      <c r="D390" s="29"/>
      <c r="E390" s="28"/>
      <c r="F390" s="28"/>
      <c r="G390" s="30"/>
      <c r="H390" s="23" t="str">
        <f aca="false">IF(E390="","",IFERROR(INDEX(Lists!$C$2:$C$86,MATCH(E390,Lists!$A$2:$A$86,0)),"?"))</f>
        <v/>
      </c>
      <c r="I390" s="24" t="str">
        <f aca="false">IF(OR(C390="",E390=""),"",IF(H390="Yes",IFERROR(INDEX(Employees!$E$4:$E$43,MATCH(C390,Employees!$B$4:$B$43,0)),0),0))</f>
        <v/>
      </c>
      <c r="J390" s="25" t="str">
        <f aca="false">IF(G390="","",IF(H390="Yes",G390*I390,0))</f>
        <v/>
      </c>
      <c r="K390" s="25" t="str">
        <f aca="false">IF(OR(C390="",G390=""),"",G390*IFERROR(INDEX(Employees!$F$4:$F$43,MATCH(C390,Employees!$B$4:$B$43,0)),0))</f>
        <v/>
      </c>
      <c r="L390" s="28"/>
    </row>
    <row r="391" customFormat="false" ht="15" hidden="false" customHeight="false" outlineLevel="0" collapsed="false">
      <c r="A391" s="26"/>
      <c r="B391" s="27" t="str">
        <f aca="false">IF(A391="","",A391+7-WEEKDAY(A391,1)+1)</f>
        <v/>
      </c>
      <c r="C391" s="28"/>
      <c r="D391" s="29"/>
      <c r="E391" s="28"/>
      <c r="F391" s="28"/>
      <c r="G391" s="30"/>
      <c r="H391" s="31" t="str">
        <f aca="false">IF(E391="","",IFERROR(INDEX(Lists!$C$2:$C$86,MATCH(E391,Lists!$A$2:$A$86,0)),"?"))</f>
        <v/>
      </c>
      <c r="I391" s="32" t="str">
        <f aca="false">IF(OR(C391="",E391=""),"",IF(H391="Yes",IFERROR(INDEX(Employees!$E$4:$E$43,MATCH(C391,Employees!$B$4:$B$43,0)),0),0))</f>
        <v/>
      </c>
      <c r="J391" s="33" t="str">
        <f aca="false">IF(G391="","",IF(H391="Yes",G391*I391,0))</f>
        <v/>
      </c>
      <c r="K391" s="33" t="str">
        <f aca="false">IF(OR(C391="",G391=""),"",G391*IFERROR(INDEX(Employees!$F$4:$F$43,MATCH(C391,Employees!$B$4:$B$43,0)),0))</f>
        <v/>
      </c>
      <c r="L391" s="28"/>
    </row>
    <row r="392" customFormat="false" ht="15" hidden="false" customHeight="false" outlineLevel="0" collapsed="false">
      <c r="A392" s="26"/>
      <c r="B392" s="19" t="str">
        <f aca="false">IF(A392="","",A392+7-WEEKDAY(A392,1)+1)</f>
        <v/>
      </c>
      <c r="C392" s="28"/>
      <c r="D392" s="29"/>
      <c r="E392" s="28"/>
      <c r="F392" s="28"/>
      <c r="G392" s="30"/>
      <c r="H392" s="23" t="str">
        <f aca="false">IF(E392="","",IFERROR(INDEX(Lists!$C$2:$C$86,MATCH(E392,Lists!$A$2:$A$86,0)),"?"))</f>
        <v/>
      </c>
      <c r="I392" s="24" t="str">
        <f aca="false">IF(OR(C392="",E392=""),"",IF(H392="Yes",IFERROR(INDEX(Employees!$E$4:$E$43,MATCH(C392,Employees!$B$4:$B$43,0)),0),0))</f>
        <v/>
      </c>
      <c r="J392" s="25" t="str">
        <f aca="false">IF(G392="","",IF(H392="Yes",G392*I392,0))</f>
        <v/>
      </c>
      <c r="K392" s="25" t="str">
        <f aca="false">IF(OR(C392="",G392=""),"",G392*IFERROR(INDEX(Employees!$F$4:$F$43,MATCH(C392,Employees!$B$4:$B$43,0)),0))</f>
        <v/>
      </c>
      <c r="L392" s="28"/>
    </row>
    <row r="393" customFormat="false" ht="15" hidden="false" customHeight="false" outlineLevel="0" collapsed="false">
      <c r="A393" s="26"/>
      <c r="B393" s="27" t="str">
        <f aca="false">IF(A393="","",A393+7-WEEKDAY(A393,1)+1)</f>
        <v/>
      </c>
      <c r="C393" s="28"/>
      <c r="D393" s="29"/>
      <c r="E393" s="28"/>
      <c r="F393" s="28"/>
      <c r="G393" s="30"/>
      <c r="H393" s="31" t="str">
        <f aca="false">IF(E393="","",IFERROR(INDEX(Lists!$C$2:$C$86,MATCH(E393,Lists!$A$2:$A$86,0)),"?"))</f>
        <v/>
      </c>
      <c r="I393" s="32" t="str">
        <f aca="false">IF(OR(C393="",E393=""),"",IF(H393="Yes",IFERROR(INDEX(Employees!$E$4:$E$43,MATCH(C393,Employees!$B$4:$B$43,0)),0),0))</f>
        <v/>
      </c>
      <c r="J393" s="33" t="str">
        <f aca="false">IF(G393="","",IF(H393="Yes",G393*I393,0))</f>
        <v/>
      </c>
      <c r="K393" s="33" t="str">
        <f aca="false">IF(OR(C393="",G393=""),"",G393*IFERROR(INDEX(Employees!$F$4:$F$43,MATCH(C393,Employees!$B$4:$B$43,0)),0))</f>
        <v/>
      </c>
      <c r="L393" s="28"/>
    </row>
    <row r="394" customFormat="false" ht="15" hidden="false" customHeight="false" outlineLevel="0" collapsed="false">
      <c r="A394" s="26"/>
      <c r="B394" s="19" t="str">
        <f aca="false">IF(A394="","",A394+7-WEEKDAY(A394,1)+1)</f>
        <v/>
      </c>
      <c r="C394" s="28"/>
      <c r="D394" s="29"/>
      <c r="E394" s="28"/>
      <c r="F394" s="28"/>
      <c r="G394" s="30"/>
      <c r="H394" s="23" t="str">
        <f aca="false">IF(E394="","",IFERROR(INDEX(Lists!$C$2:$C$86,MATCH(E394,Lists!$A$2:$A$86,0)),"?"))</f>
        <v/>
      </c>
      <c r="I394" s="24" t="str">
        <f aca="false">IF(OR(C394="",E394=""),"",IF(H394="Yes",IFERROR(INDEX(Employees!$E$4:$E$43,MATCH(C394,Employees!$B$4:$B$43,0)),0),0))</f>
        <v/>
      </c>
      <c r="J394" s="25" t="str">
        <f aca="false">IF(G394="","",IF(H394="Yes",G394*I394,0))</f>
        <v/>
      </c>
      <c r="K394" s="25" t="str">
        <f aca="false">IF(OR(C394="",G394=""),"",G394*IFERROR(INDEX(Employees!$F$4:$F$43,MATCH(C394,Employees!$B$4:$B$43,0)),0))</f>
        <v/>
      </c>
      <c r="L394" s="28"/>
    </row>
    <row r="395" customFormat="false" ht="15" hidden="false" customHeight="false" outlineLevel="0" collapsed="false">
      <c r="A395" s="26"/>
      <c r="B395" s="27" t="str">
        <f aca="false">IF(A395="","",A395+7-WEEKDAY(A395,1)+1)</f>
        <v/>
      </c>
      <c r="C395" s="28"/>
      <c r="D395" s="29"/>
      <c r="E395" s="28"/>
      <c r="F395" s="28"/>
      <c r="G395" s="30"/>
      <c r="H395" s="31" t="str">
        <f aca="false">IF(E395="","",IFERROR(INDEX(Lists!$C$2:$C$86,MATCH(E395,Lists!$A$2:$A$86,0)),"?"))</f>
        <v/>
      </c>
      <c r="I395" s="32" t="str">
        <f aca="false">IF(OR(C395="",E395=""),"",IF(H395="Yes",IFERROR(INDEX(Employees!$E$4:$E$43,MATCH(C395,Employees!$B$4:$B$43,0)),0),0))</f>
        <v/>
      </c>
      <c r="J395" s="33" t="str">
        <f aca="false">IF(G395="","",IF(H395="Yes",G395*I395,0))</f>
        <v/>
      </c>
      <c r="K395" s="33" t="str">
        <f aca="false">IF(OR(C395="",G395=""),"",G395*IFERROR(INDEX(Employees!$F$4:$F$43,MATCH(C395,Employees!$B$4:$B$43,0)),0))</f>
        <v/>
      </c>
      <c r="L395" s="28"/>
    </row>
    <row r="396" customFormat="false" ht="15" hidden="false" customHeight="false" outlineLevel="0" collapsed="false">
      <c r="A396" s="26"/>
      <c r="B396" s="19" t="str">
        <f aca="false">IF(A396="","",A396+7-WEEKDAY(A396,1)+1)</f>
        <v/>
      </c>
      <c r="C396" s="28"/>
      <c r="D396" s="29"/>
      <c r="E396" s="28"/>
      <c r="F396" s="28"/>
      <c r="G396" s="30"/>
      <c r="H396" s="23" t="str">
        <f aca="false">IF(E396="","",IFERROR(INDEX(Lists!$C$2:$C$86,MATCH(E396,Lists!$A$2:$A$86,0)),"?"))</f>
        <v/>
      </c>
      <c r="I396" s="24" t="str">
        <f aca="false">IF(OR(C396="",E396=""),"",IF(H396="Yes",IFERROR(INDEX(Employees!$E$4:$E$43,MATCH(C396,Employees!$B$4:$B$43,0)),0),0))</f>
        <v/>
      </c>
      <c r="J396" s="25" t="str">
        <f aca="false">IF(G396="","",IF(H396="Yes",G396*I396,0))</f>
        <v/>
      </c>
      <c r="K396" s="25" t="str">
        <f aca="false">IF(OR(C396="",G396=""),"",G396*IFERROR(INDEX(Employees!$F$4:$F$43,MATCH(C396,Employees!$B$4:$B$43,0)),0))</f>
        <v/>
      </c>
      <c r="L396" s="28"/>
    </row>
    <row r="397" customFormat="false" ht="15" hidden="false" customHeight="false" outlineLevel="0" collapsed="false">
      <c r="A397" s="26"/>
      <c r="B397" s="27" t="str">
        <f aca="false">IF(A397="","",A397+7-WEEKDAY(A397,1)+1)</f>
        <v/>
      </c>
      <c r="C397" s="28"/>
      <c r="D397" s="29"/>
      <c r="E397" s="28"/>
      <c r="F397" s="28"/>
      <c r="G397" s="30"/>
      <c r="H397" s="31" t="str">
        <f aca="false">IF(E397="","",IFERROR(INDEX(Lists!$C$2:$C$86,MATCH(E397,Lists!$A$2:$A$86,0)),"?"))</f>
        <v/>
      </c>
      <c r="I397" s="32" t="str">
        <f aca="false">IF(OR(C397="",E397=""),"",IF(H397="Yes",IFERROR(INDEX(Employees!$E$4:$E$43,MATCH(C397,Employees!$B$4:$B$43,0)),0),0))</f>
        <v/>
      </c>
      <c r="J397" s="33" t="str">
        <f aca="false">IF(G397="","",IF(H397="Yes",G397*I397,0))</f>
        <v/>
      </c>
      <c r="K397" s="33" t="str">
        <f aca="false">IF(OR(C397="",G397=""),"",G397*IFERROR(INDEX(Employees!$F$4:$F$43,MATCH(C397,Employees!$B$4:$B$43,0)),0))</f>
        <v/>
      </c>
      <c r="L397" s="28"/>
    </row>
    <row r="398" customFormat="false" ht="15" hidden="false" customHeight="false" outlineLevel="0" collapsed="false">
      <c r="A398" s="26"/>
      <c r="B398" s="19" t="str">
        <f aca="false">IF(A398="","",A398+7-WEEKDAY(A398,1)+1)</f>
        <v/>
      </c>
      <c r="C398" s="28"/>
      <c r="D398" s="29"/>
      <c r="E398" s="28"/>
      <c r="F398" s="28"/>
      <c r="G398" s="30"/>
      <c r="H398" s="23" t="str">
        <f aca="false">IF(E398="","",IFERROR(INDEX(Lists!$C$2:$C$86,MATCH(E398,Lists!$A$2:$A$86,0)),"?"))</f>
        <v/>
      </c>
      <c r="I398" s="24" t="str">
        <f aca="false">IF(OR(C398="",E398=""),"",IF(H398="Yes",IFERROR(INDEX(Employees!$E$4:$E$43,MATCH(C398,Employees!$B$4:$B$43,0)),0),0))</f>
        <v/>
      </c>
      <c r="J398" s="25" t="str">
        <f aca="false">IF(G398="","",IF(H398="Yes",G398*I398,0))</f>
        <v/>
      </c>
      <c r="K398" s="25" t="str">
        <f aca="false">IF(OR(C398="",G398=""),"",G398*IFERROR(INDEX(Employees!$F$4:$F$43,MATCH(C398,Employees!$B$4:$B$43,0)),0))</f>
        <v/>
      </c>
      <c r="L398" s="28"/>
    </row>
    <row r="399" customFormat="false" ht="15" hidden="false" customHeight="false" outlineLevel="0" collapsed="false">
      <c r="A399" s="26"/>
      <c r="B399" s="27" t="str">
        <f aca="false">IF(A399="","",A399+7-WEEKDAY(A399,1)+1)</f>
        <v/>
      </c>
      <c r="C399" s="28"/>
      <c r="D399" s="29"/>
      <c r="E399" s="28"/>
      <c r="F399" s="28"/>
      <c r="G399" s="30"/>
      <c r="H399" s="31" t="str">
        <f aca="false">IF(E399="","",IFERROR(INDEX(Lists!$C$2:$C$86,MATCH(E399,Lists!$A$2:$A$86,0)),"?"))</f>
        <v/>
      </c>
      <c r="I399" s="32" t="str">
        <f aca="false">IF(OR(C399="",E399=""),"",IF(H399="Yes",IFERROR(INDEX(Employees!$E$4:$E$43,MATCH(C399,Employees!$B$4:$B$43,0)),0),0))</f>
        <v/>
      </c>
      <c r="J399" s="33" t="str">
        <f aca="false">IF(G399="","",IF(H399="Yes",G399*I399,0))</f>
        <v/>
      </c>
      <c r="K399" s="33" t="str">
        <f aca="false">IF(OR(C399="",G399=""),"",G399*IFERROR(INDEX(Employees!$F$4:$F$43,MATCH(C399,Employees!$B$4:$B$43,0)),0))</f>
        <v/>
      </c>
      <c r="L399" s="28"/>
    </row>
    <row r="400" customFormat="false" ht="15" hidden="false" customHeight="false" outlineLevel="0" collapsed="false">
      <c r="A400" s="26"/>
      <c r="B400" s="19" t="str">
        <f aca="false">IF(A400="","",A400+7-WEEKDAY(A400,1)+1)</f>
        <v/>
      </c>
      <c r="C400" s="28"/>
      <c r="D400" s="29"/>
      <c r="E400" s="28"/>
      <c r="F400" s="28"/>
      <c r="G400" s="30"/>
      <c r="H400" s="23" t="str">
        <f aca="false">IF(E400="","",IFERROR(INDEX(Lists!$C$2:$C$86,MATCH(E400,Lists!$A$2:$A$86,0)),"?"))</f>
        <v/>
      </c>
      <c r="I400" s="24" t="str">
        <f aca="false">IF(OR(C400="",E400=""),"",IF(H400="Yes",IFERROR(INDEX(Employees!$E$4:$E$43,MATCH(C400,Employees!$B$4:$B$43,0)),0),0))</f>
        <v/>
      </c>
      <c r="J400" s="25" t="str">
        <f aca="false">IF(G400="","",IF(H400="Yes",G400*I400,0))</f>
        <v/>
      </c>
      <c r="K400" s="25" t="str">
        <f aca="false">IF(OR(C400="",G400=""),"",G400*IFERROR(INDEX(Employees!$F$4:$F$43,MATCH(C400,Employees!$B$4:$B$43,0)),0))</f>
        <v/>
      </c>
      <c r="L400" s="28"/>
    </row>
    <row r="401" customFormat="false" ht="15" hidden="false" customHeight="false" outlineLevel="0" collapsed="false">
      <c r="A401" s="26"/>
      <c r="B401" s="27" t="str">
        <f aca="false">IF(A401="","",A401+7-WEEKDAY(A401,1)+1)</f>
        <v/>
      </c>
      <c r="C401" s="28"/>
      <c r="D401" s="29"/>
      <c r="E401" s="28"/>
      <c r="F401" s="28"/>
      <c r="G401" s="30"/>
      <c r="H401" s="31" t="str">
        <f aca="false">IF(E401="","",IFERROR(INDEX(Lists!$C$2:$C$86,MATCH(E401,Lists!$A$2:$A$86,0)),"?"))</f>
        <v/>
      </c>
      <c r="I401" s="32" t="str">
        <f aca="false">IF(OR(C401="",E401=""),"",IF(H401="Yes",IFERROR(INDEX(Employees!$E$4:$E$43,MATCH(C401,Employees!$B$4:$B$43,0)),0),0))</f>
        <v/>
      </c>
      <c r="J401" s="33" t="str">
        <f aca="false">IF(G401="","",IF(H401="Yes",G401*I401,0))</f>
        <v/>
      </c>
      <c r="K401" s="33" t="str">
        <f aca="false">IF(OR(C401="",G401=""),"",G401*IFERROR(INDEX(Employees!$F$4:$F$43,MATCH(C401,Employees!$B$4:$B$43,0)),0))</f>
        <v/>
      </c>
      <c r="L401" s="28"/>
    </row>
    <row r="402" customFormat="false" ht="15" hidden="false" customHeight="false" outlineLevel="0" collapsed="false">
      <c r="A402" s="26"/>
      <c r="B402" s="19" t="str">
        <f aca="false">IF(A402="","",A402+7-WEEKDAY(A402,1)+1)</f>
        <v/>
      </c>
      <c r="C402" s="28"/>
      <c r="D402" s="29"/>
      <c r="E402" s="28"/>
      <c r="F402" s="28"/>
      <c r="G402" s="30"/>
      <c r="H402" s="23" t="str">
        <f aca="false">IF(E402="","",IFERROR(INDEX(Lists!$C$2:$C$86,MATCH(E402,Lists!$A$2:$A$86,0)),"?"))</f>
        <v/>
      </c>
      <c r="I402" s="24" t="str">
        <f aca="false">IF(OR(C402="",E402=""),"",IF(H402="Yes",IFERROR(INDEX(Employees!$E$4:$E$43,MATCH(C402,Employees!$B$4:$B$43,0)),0),0))</f>
        <v/>
      </c>
      <c r="J402" s="25" t="str">
        <f aca="false">IF(G402="","",IF(H402="Yes",G402*I402,0))</f>
        <v/>
      </c>
      <c r="K402" s="25" t="str">
        <f aca="false">IF(OR(C402="",G402=""),"",G402*IFERROR(INDEX(Employees!$F$4:$F$43,MATCH(C402,Employees!$B$4:$B$43,0)),0))</f>
        <v/>
      </c>
      <c r="L402" s="28"/>
    </row>
    <row r="403" customFormat="false" ht="15" hidden="false" customHeight="false" outlineLevel="0" collapsed="false">
      <c r="A403" s="26"/>
      <c r="B403" s="27" t="str">
        <f aca="false">IF(A403="","",A403+7-WEEKDAY(A403,1)+1)</f>
        <v/>
      </c>
      <c r="C403" s="28"/>
      <c r="D403" s="29"/>
      <c r="E403" s="28"/>
      <c r="F403" s="28"/>
      <c r="G403" s="30"/>
      <c r="H403" s="31" t="str">
        <f aca="false">IF(E403="","",IFERROR(INDEX(Lists!$C$2:$C$86,MATCH(E403,Lists!$A$2:$A$86,0)),"?"))</f>
        <v/>
      </c>
      <c r="I403" s="32" t="str">
        <f aca="false">IF(OR(C403="",E403=""),"",IF(H403="Yes",IFERROR(INDEX(Employees!$E$4:$E$43,MATCH(C403,Employees!$B$4:$B$43,0)),0),0))</f>
        <v/>
      </c>
      <c r="J403" s="33" t="str">
        <f aca="false">IF(G403="","",IF(H403="Yes",G403*I403,0))</f>
        <v/>
      </c>
      <c r="K403" s="33" t="str">
        <f aca="false">IF(OR(C403="",G403=""),"",G403*IFERROR(INDEX(Employees!$F$4:$F$43,MATCH(C403,Employees!$B$4:$B$43,0)),0))</f>
        <v/>
      </c>
      <c r="L403" s="28"/>
    </row>
    <row r="404" customFormat="false" ht="15" hidden="false" customHeight="false" outlineLevel="0" collapsed="false">
      <c r="A404" s="26"/>
      <c r="B404" s="19" t="str">
        <f aca="false">IF(A404="","",A404+7-WEEKDAY(A404,1)+1)</f>
        <v/>
      </c>
      <c r="C404" s="28"/>
      <c r="D404" s="29"/>
      <c r="E404" s="28"/>
      <c r="F404" s="28"/>
      <c r="G404" s="30"/>
      <c r="H404" s="23" t="str">
        <f aca="false">IF(E404="","",IFERROR(INDEX(Lists!$C$2:$C$86,MATCH(E404,Lists!$A$2:$A$86,0)),"?"))</f>
        <v/>
      </c>
      <c r="I404" s="24" t="str">
        <f aca="false">IF(OR(C404="",E404=""),"",IF(H404="Yes",IFERROR(INDEX(Employees!$E$4:$E$43,MATCH(C404,Employees!$B$4:$B$43,0)),0),0))</f>
        <v/>
      </c>
      <c r="J404" s="25" t="str">
        <f aca="false">IF(G404="","",IF(H404="Yes",G404*I404,0))</f>
        <v/>
      </c>
      <c r="K404" s="25" t="str">
        <f aca="false">IF(OR(C404="",G404=""),"",G404*IFERROR(INDEX(Employees!$F$4:$F$43,MATCH(C404,Employees!$B$4:$B$43,0)),0))</f>
        <v/>
      </c>
      <c r="L404" s="28"/>
    </row>
    <row r="405" customFormat="false" ht="15" hidden="false" customHeight="false" outlineLevel="0" collapsed="false">
      <c r="A405" s="26"/>
      <c r="B405" s="27" t="str">
        <f aca="false">IF(A405="","",A405+7-WEEKDAY(A405,1)+1)</f>
        <v/>
      </c>
      <c r="C405" s="28"/>
      <c r="D405" s="29"/>
      <c r="E405" s="28"/>
      <c r="F405" s="28"/>
      <c r="G405" s="30"/>
      <c r="H405" s="31" t="str">
        <f aca="false">IF(E405="","",IFERROR(INDEX(Lists!$C$2:$C$86,MATCH(E405,Lists!$A$2:$A$86,0)),"?"))</f>
        <v/>
      </c>
      <c r="I405" s="32" t="str">
        <f aca="false">IF(OR(C405="",E405=""),"",IF(H405="Yes",IFERROR(INDEX(Employees!$E$4:$E$43,MATCH(C405,Employees!$B$4:$B$43,0)),0),0))</f>
        <v/>
      </c>
      <c r="J405" s="33" t="str">
        <f aca="false">IF(G405="","",IF(H405="Yes",G405*I405,0))</f>
        <v/>
      </c>
      <c r="K405" s="33" t="str">
        <f aca="false">IF(OR(C405="",G405=""),"",G405*IFERROR(INDEX(Employees!$F$4:$F$43,MATCH(C405,Employees!$B$4:$B$43,0)),0))</f>
        <v/>
      </c>
      <c r="L405" s="28"/>
    </row>
    <row r="406" customFormat="false" ht="15" hidden="false" customHeight="false" outlineLevel="0" collapsed="false">
      <c r="A406" s="26"/>
      <c r="B406" s="19" t="str">
        <f aca="false">IF(A406="","",A406+7-WEEKDAY(A406,1)+1)</f>
        <v/>
      </c>
      <c r="C406" s="28"/>
      <c r="D406" s="29"/>
      <c r="E406" s="28"/>
      <c r="F406" s="28"/>
      <c r="G406" s="30"/>
      <c r="H406" s="23" t="str">
        <f aca="false">IF(E406="","",IFERROR(INDEX(Lists!$C$2:$C$86,MATCH(E406,Lists!$A$2:$A$86,0)),"?"))</f>
        <v/>
      </c>
      <c r="I406" s="24" t="str">
        <f aca="false">IF(OR(C406="",E406=""),"",IF(H406="Yes",IFERROR(INDEX(Employees!$E$4:$E$43,MATCH(C406,Employees!$B$4:$B$43,0)),0),0))</f>
        <v/>
      </c>
      <c r="J406" s="25" t="str">
        <f aca="false">IF(G406="","",IF(H406="Yes",G406*I406,0))</f>
        <v/>
      </c>
      <c r="K406" s="25" t="str">
        <f aca="false">IF(OR(C406="",G406=""),"",G406*IFERROR(INDEX(Employees!$F$4:$F$43,MATCH(C406,Employees!$B$4:$B$43,0)),0))</f>
        <v/>
      </c>
      <c r="L406" s="28"/>
    </row>
    <row r="407" customFormat="false" ht="15" hidden="false" customHeight="false" outlineLevel="0" collapsed="false">
      <c r="A407" s="26"/>
      <c r="B407" s="27" t="str">
        <f aca="false">IF(A407="","",A407+7-WEEKDAY(A407,1)+1)</f>
        <v/>
      </c>
      <c r="C407" s="28"/>
      <c r="D407" s="29"/>
      <c r="E407" s="28"/>
      <c r="F407" s="28"/>
      <c r="G407" s="30"/>
      <c r="H407" s="31" t="str">
        <f aca="false">IF(E407="","",IFERROR(INDEX(Lists!$C$2:$C$86,MATCH(E407,Lists!$A$2:$A$86,0)),"?"))</f>
        <v/>
      </c>
      <c r="I407" s="32" t="str">
        <f aca="false">IF(OR(C407="",E407=""),"",IF(H407="Yes",IFERROR(INDEX(Employees!$E$4:$E$43,MATCH(C407,Employees!$B$4:$B$43,0)),0),0))</f>
        <v/>
      </c>
      <c r="J407" s="33" t="str">
        <f aca="false">IF(G407="","",IF(H407="Yes",G407*I407,0))</f>
        <v/>
      </c>
      <c r="K407" s="33" t="str">
        <f aca="false">IF(OR(C407="",G407=""),"",G407*IFERROR(INDEX(Employees!$F$4:$F$43,MATCH(C407,Employees!$B$4:$B$43,0)),0))</f>
        <v/>
      </c>
      <c r="L407" s="28"/>
    </row>
    <row r="408" customFormat="false" ht="15" hidden="false" customHeight="false" outlineLevel="0" collapsed="false">
      <c r="A408" s="26"/>
      <c r="B408" s="19" t="str">
        <f aca="false">IF(A408="","",A408+7-WEEKDAY(A408,1)+1)</f>
        <v/>
      </c>
      <c r="C408" s="28"/>
      <c r="D408" s="29"/>
      <c r="E408" s="28"/>
      <c r="F408" s="28"/>
      <c r="G408" s="30"/>
      <c r="H408" s="23" t="str">
        <f aca="false">IF(E408="","",IFERROR(INDEX(Lists!$C$2:$C$86,MATCH(E408,Lists!$A$2:$A$86,0)),"?"))</f>
        <v/>
      </c>
      <c r="I408" s="24" t="str">
        <f aca="false">IF(OR(C408="",E408=""),"",IF(H408="Yes",IFERROR(INDEX(Employees!$E$4:$E$43,MATCH(C408,Employees!$B$4:$B$43,0)),0),0))</f>
        <v/>
      </c>
      <c r="J408" s="25" t="str">
        <f aca="false">IF(G408="","",IF(H408="Yes",G408*I408,0))</f>
        <v/>
      </c>
      <c r="K408" s="25" t="str">
        <f aca="false">IF(OR(C408="",G408=""),"",G408*IFERROR(INDEX(Employees!$F$4:$F$43,MATCH(C408,Employees!$B$4:$B$43,0)),0))</f>
        <v/>
      </c>
      <c r="L408" s="28"/>
    </row>
    <row r="409" customFormat="false" ht="15" hidden="false" customHeight="false" outlineLevel="0" collapsed="false">
      <c r="A409" s="26"/>
      <c r="B409" s="27" t="str">
        <f aca="false">IF(A409="","",A409+7-WEEKDAY(A409,1)+1)</f>
        <v/>
      </c>
      <c r="C409" s="28"/>
      <c r="D409" s="29"/>
      <c r="E409" s="28"/>
      <c r="F409" s="28"/>
      <c r="G409" s="30"/>
      <c r="H409" s="31" t="str">
        <f aca="false">IF(E409="","",IFERROR(INDEX(Lists!$C$2:$C$86,MATCH(E409,Lists!$A$2:$A$86,0)),"?"))</f>
        <v/>
      </c>
      <c r="I409" s="32" t="str">
        <f aca="false">IF(OR(C409="",E409=""),"",IF(H409="Yes",IFERROR(INDEX(Employees!$E$4:$E$43,MATCH(C409,Employees!$B$4:$B$43,0)),0),0))</f>
        <v/>
      </c>
      <c r="J409" s="33" t="str">
        <f aca="false">IF(G409="","",IF(H409="Yes",G409*I409,0))</f>
        <v/>
      </c>
      <c r="K409" s="33" t="str">
        <f aca="false">IF(OR(C409="",G409=""),"",G409*IFERROR(INDEX(Employees!$F$4:$F$43,MATCH(C409,Employees!$B$4:$B$43,0)),0))</f>
        <v/>
      </c>
      <c r="L409" s="28"/>
    </row>
    <row r="410" customFormat="false" ht="15" hidden="false" customHeight="false" outlineLevel="0" collapsed="false">
      <c r="A410" s="26"/>
      <c r="B410" s="19" t="str">
        <f aca="false">IF(A410="","",A410+7-WEEKDAY(A410,1)+1)</f>
        <v/>
      </c>
      <c r="C410" s="28"/>
      <c r="D410" s="29"/>
      <c r="E410" s="28"/>
      <c r="F410" s="28"/>
      <c r="G410" s="30"/>
      <c r="H410" s="23" t="str">
        <f aca="false">IF(E410="","",IFERROR(INDEX(Lists!$C$2:$C$86,MATCH(E410,Lists!$A$2:$A$86,0)),"?"))</f>
        <v/>
      </c>
      <c r="I410" s="24" t="str">
        <f aca="false">IF(OR(C410="",E410=""),"",IF(H410="Yes",IFERROR(INDEX(Employees!$E$4:$E$43,MATCH(C410,Employees!$B$4:$B$43,0)),0),0))</f>
        <v/>
      </c>
      <c r="J410" s="25" t="str">
        <f aca="false">IF(G410="","",IF(H410="Yes",G410*I410,0))</f>
        <v/>
      </c>
      <c r="K410" s="25" t="str">
        <f aca="false">IF(OR(C410="",G410=""),"",G410*IFERROR(INDEX(Employees!$F$4:$F$43,MATCH(C410,Employees!$B$4:$B$43,0)),0))</f>
        <v/>
      </c>
      <c r="L410" s="28"/>
    </row>
    <row r="411" customFormat="false" ht="15" hidden="false" customHeight="false" outlineLevel="0" collapsed="false">
      <c r="A411" s="26"/>
      <c r="B411" s="27" t="str">
        <f aca="false">IF(A411="","",A411+7-WEEKDAY(A411,1)+1)</f>
        <v/>
      </c>
      <c r="C411" s="28"/>
      <c r="D411" s="29"/>
      <c r="E411" s="28"/>
      <c r="F411" s="28"/>
      <c r="G411" s="30"/>
      <c r="H411" s="31" t="str">
        <f aca="false">IF(E411="","",IFERROR(INDEX(Lists!$C$2:$C$86,MATCH(E411,Lists!$A$2:$A$86,0)),"?"))</f>
        <v/>
      </c>
      <c r="I411" s="32" t="str">
        <f aca="false">IF(OR(C411="",E411=""),"",IF(H411="Yes",IFERROR(INDEX(Employees!$E$4:$E$43,MATCH(C411,Employees!$B$4:$B$43,0)),0),0))</f>
        <v/>
      </c>
      <c r="J411" s="33" t="str">
        <f aca="false">IF(G411="","",IF(H411="Yes",G411*I411,0))</f>
        <v/>
      </c>
      <c r="K411" s="33" t="str">
        <f aca="false">IF(OR(C411="",G411=""),"",G411*IFERROR(INDEX(Employees!$F$4:$F$43,MATCH(C411,Employees!$B$4:$B$43,0)),0))</f>
        <v/>
      </c>
      <c r="L411" s="28"/>
    </row>
    <row r="412" customFormat="false" ht="15" hidden="false" customHeight="false" outlineLevel="0" collapsed="false">
      <c r="A412" s="26"/>
      <c r="B412" s="19" t="str">
        <f aca="false">IF(A412="","",A412+7-WEEKDAY(A412,1)+1)</f>
        <v/>
      </c>
      <c r="C412" s="28"/>
      <c r="D412" s="29"/>
      <c r="E412" s="28"/>
      <c r="F412" s="28"/>
      <c r="G412" s="30"/>
      <c r="H412" s="23" t="str">
        <f aca="false">IF(E412="","",IFERROR(INDEX(Lists!$C$2:$C$86,MATCH(E412,Lists!$A$2:$A$86,0)),"?"))</f>
        <v/>
      </c>
      <c r="I412" s="24" t="str">
        <f aca="false">IF(OR(C412="",E412=""),"",IF(H412="Yes",IFERROR(INDEX(Employees!$E$4:$E$43,MATCH(C412,Employees!$B$4:$B$43,0)),0),0))</f>
        <v/>
      </c>
      <c r="J412" s="25" t="str">
        <f aca="false">IF(G412="","",IF(H412="Yes",G412*I412,0))</f>
        <v/>
      </c>
      <c r="K412" s="25" t="str">
        <f aca="false">IF(OR(C412="",G412=""),"",G412*IFERROR(INDEX(Employees!$F$4:$F$43,MATCH(C412,Employees!$B$4:$B$43,0)),0))</f>
        <v/>
      </c>
      <c r="L412" s="28"/>
    </row>
    <row r="413" customFormat="false" ht="15" hidden="false" customHeight="false" outlineLevel="0" collapsed="false">
      <c r="A413" s="26"/>
      <c r="B413" s="27" t="str">
        <f aca="false">IF(A413="","",A413+7-WEEKDAY(A413,1)+1)</f>
        <v/>
      </c>
      <c r="C413" s="28"/>
      <c r="D413" s="29"/>
      <c r="E413" s="28"/>
      <c r="F413" s="28"/>
      <c r="G413" s="30"/>
      <c r="H413" s="31" t="str">
        <f aca="false">IF(E413="","",IFERROR(INDEX(Lists!$C$2:$C$86,MATCH(E413,Lists!$A$2:$A$86,0)),"?"))</f>
        <v/>
      </c>
      <c r="I413" s="32" t="str">
        <f aca="false">IF(OR(C413="",E413=""),"",IF(H413="Yes",IFERROR(INDEX(Employees!$E$4:$E$43,MATCH(C413,Employees!$B$4:$B$43,0)),0),0))</f>
        <v/>
      </c>
      <c r="J413" s="33" t="str">
        <f aca="false">IF(G413="","",IF(H413="Yes",G413*I413,0))</f>
        <v/>
      </c>
      <c r="K413" s="33" t="str">
        <f aca="false">IF(OR(C413="",G413=""),"",G413*IFERROR(INDEX(Employees!$F$4:$F$43,MATCH(C413,Employees!$B$4:$B$43,0)),0))</f>
        <v/>
      </c>
      <c r="L413" s="28"/>
    </row>
    <row r="414" customFormat="false" ht="15" hidden="false" customHeight="false" outlineLevel="0" collapsed="false">
      <c r="A414" s="26"/>
      <c r="B414" s="19" t="str">
        <f aca="false">IF(A414="","",A414+7-WEEKDAY(A414,1)+1)</f>
        <v/>
      </c>
      <c r="C414" s="28"/>
      <c r="D414" s="29"/>
      <c r="E414" s="28"/>
      <c r="F414" s="28"/>
      <c r="G414" s="30"/>
      <c r="H414" s="23" t="str">
        <f aca="false">IF(E414="","",IFERROR(INDEX(Lists!$C$2:$C$86,MATCH(E414,Lists!$A$2:$A$86,0)),"?"))</f>
        <v/>
      </c>
      <c r="I414" s="24" t="str">
        <f aca="false">IF(OR(C414="",E414=""),"",IF(H414="Yes",IFERROR(INDEX(Employees!$E$4:$E$43,MATCH(C414,Employees!$B$4:$B$43,0)),0),0))</f>
        <v/>
      </c>
      <c r="J414" s="25" t="str">
        <f aca="false">IF(G414="","",IF(H414="Yes",G414*I414,0))</f>
        <v/>
      </c>
      <c r="K414" s="25" t="str">
        <f aca="false">IF(OR(C414="",G414=""),"",G414*IFERROR(INDEX(Employees!$F$4:$F$43,MATCH(C414,Employees!$B$4:$B$43,0)),0))</f>
        <v/>
      </c>
      <c r="L414" s="28"/>
    </row>
    <row r="415" customFormat="false" ht="15" hidden="false" customHeight="false" outlineLevel="0" collapsed="false">
      <c r="A415" s="26"/>
      <c r="B415" s="27" t="str">
        <f aca="false">IF(A415="","",A415+7-WEEKDAY(A415,1)+1)</f>
        <v/>
      </c>
      <c r="C415" s="28"/>
      <c r="D415" s="29"/>
      <c r="E415" s="28"/>
      <c r="F415" s="28"/>
      <c r="G415" s="30"/>
      <c r="H415" s="31" t="str">
        <f aca="false">IF(E415="","",IFERROR(INDEX(Lists!$C$2:$C$86,MATCH(E415,Lists!$A$2:$A$86,0)),"?"))</f>
        <v/>
      </c>
      <c r="I415" s="32" t="str">
        <f aca="false">IF(OR(C415="",E415=""),"",IF(H415="Yes",IFERROR(INDEX(Employees!$E$4:$E$43,MATCH(C415,Employees!$B$4:$B$43,0)),0),0))</f>
        <v/>
      </c>
      <c r="J415" s="33" t="str">
        <f aca="false">IF(G415="","",IF(H415="Yes",G415*I415,0))</f>
        <v/>
      </c>
      <c r="K415" s="33" t="str">
        <f aca="false">IF(OR(C415="",G415=""),"",G415*IFERROR(INDEX(Employees!$F$4:$F$43,MATCH(C415,Employees!$B$4:$B$43,0)),0))</f>
        <v/>
      </c>
      <c r="L415" s="28"/>
    </row>
    <row r="416" customFormat="false" ht="15" hidden="false" customHeight="false" outlineLevel="0" collapsed="false">
      <c r="A416" s="26"/>
      <c r="B416" s="19" t="str">
        <f aca="false">IF(A416="","",A416+7-WEEKDAY(A416,1)+1)</f>
        <v/>
      </c>
      <c r="C416" s="28"/>
      <c r="D416" s="29"/>
      <c r="E416" s="28"/>
      <c r="F416" s="28"/>
      <c r="G416" s="30"/>
      <c r="H416" s="23" t="str">
        <f aca="false">IF(E416="","",IFERROR(INDEX(Lists!$C$2:$C$86,MATCH(E416,Lists!$A$2:$A$86,0)),"?"))</f>
        <v/>
      </c>
      <c r="I416" s="24" t="str">
        <f aca="false">IF(OR(C416="",E416=""),"",IF(H416="Yes",IFERROR(INDEX(Employees!$E$4:$E$43,MATCH(C416,Employees!$B$4:$B$43,0)),0),0))</f>
        <v/>
      </c>
      <c r="J416" s="25" t="str">
        <f aca="false">IF(G416="","",IF(H416="Yes",G416*I416,0))</f>
        <v/>
      </c>
      <c r="K416" s="25" t="str">
        <f aca="false">IF(OR(C416="",G416=""),"",G416*IFERROR(INDEX(Employees!$F$4:$F$43,MATCH(C416,Employees!$B$4:$B$43,0)),0))</f>
        <v/>
      </c>
      <c r="L416" s="28"/>
    </row>
    <row r="417" customFormat="false" ht="15" hidden="false" customHeight="false" outlineLevel="0" collapsed="false">
      <c r="A417" s="26"/>
      <c r="B417" s="27" t="str">
        <f aca="false">IF(A417="","",A417+7-WEEKDAY(A417,1)+1)</f>
        <v/>
      </c>
      <c r="C417" s="28"/>
      <c r="D417" s="29"/>
      <c r="E417" s="28"/>
      <c r="F417" s="28"/>
      <c r="G417" s="30"/>
      <c r="H417" s="31" t="str">
        <f aca="false">IF(E417="","",IFERROR(INDEX(Lists!$C$2:$C$86,MATCH(E417,Lists!$A$2:$A$86,0)),"?"))</f>
        <v/>
      </c>
      <c r="I417" s="32" t="str">
        <f aca="false">IF(OR(C417="",E417=""),"",IF(H417="Yes",IFERROR(INDEX(Employees!$E$4:$E$43,MATCH(C417,Employees!$B$4:$B$43,0)),0),0))</f>
        <v/>
      </c>
      <c r="J417" s="33" t="str">
        <f aca="false">IF(G417="","",IF(H417="Yes",G417*I417,0))</f>
        <v/>
      </c>
      <c r="K417" s="33" t="str">
        <f aca="false">IF(OR(C417="",G417=""),"",G417*IFERROR(INDEX(Employees!$F$4:$F$43,MATCH(C417,Employees!$B$4:$B$43,0)),0))</f>
        <v/>
      </c>
      <c r="L417" s="28"/>
    </row>
    <row r="418" customFormat="false" ht="15" hidden="false" customHeight="false" outlineLevel="0" collapsed="false">
      <c r="A418" s="26"/>
      <c r="B418" s="19" t="str">
        <f aca="false">IF(A418="","",A418+7-WEEKDAY(A418,1)+1)</f>
        <v/>
      </c>
      <c r="C418" s="28"/>
      <c r="D418" s="29"/>
      <c r="E418" s="28"/>
      <c r="F418" s="28"/>
      <c r="G418" s="30"/>
      <c r="H418" s="23" t="str">
        <f aca="false">IF(E418="","",IFERROR(INDEX(Lists!$C$2:$C$86,MATCH(E418,Lists!$A$2:$A$86,0)),"?"))</f>
        <v/>
      </c>
      <c r="I418" s="24" t="str">
        <f aca="false">IF(OR(C418="",E418=""),"",IF(H418="Yes",IFERROR(INDEX(Employees!$E$4:$E$43,MATCH(C418,Employees!$B$4:$B$43,0)),0),0))</f>
        <v/>
      </c>
      <c r="J418" s="25" t="str">
        <f aca="false">IF(G418="","",IF(H418="Yes",G418*I418,0))</f>
        <v/>
      </c>
      <c r="K418" s="25" t="str">
        <f aca="false">IF(OR(C418="",G418=""),"",G418*IFERROR(INDEX(Employees!$F$4:$F$43,MATCH(C418,Employees!$B$4:$B$43,0)),0))</f>
        <v/>
      </c>
      <c r="L418" s="28"/>
    </row>
    <row r="419" customFormat="false" ht="15" hidden="false" customHeight="false" outlineLevel="0" collapsed="false">
      <c r="A419" s="26"/>
      <c r="B419" s="27" t="str">
        <f aca="false">IF(A419="","",A419+7-WEEKDAY(A419,1)+1)</f>
        <v/>
      </c>
      <c r="C419" s="28"/>
      <c r="D419" s="29"/>
      <c r="E419" s="28"/>
      <c r="F419" s="28"/>
      <c r="G419" s="30"/>
      <c r="H419" s="31" t="str">
        <f aca="false">IF(E419="","",IFERROR(INDEX(Lists!$C$2:$C$86,MATCH(E419,Lists!$A$2:$A$86,0)),"?"))</f>
        <v/>
      </c>
      <c r="I419" s="32" t="str">
        <f aca="false">IF(OR(C419="",E419=""),"",IF(H419="Yes",IFERROR(INDEX(Employees!$E$4:$E$43,MATCH(C419,Employees!$B$4:$B$43,0)),0),0))</f>
        <v/>
      </c>
      <c r="J419" s="33" t="str">
        <f aca="false">IF(G419="","",IF(H419="Yes",G419*I419,0))</f>
        <v/>
      </c>
      <c r="K419" s="33" t="str">
        <f aca="false">IF(OR(C419="",G419=""),"",G419*IFERROR(INDEX(Employees!$F$4:$F$43,MATCH(C419,Employees!$B$4:$B$43,0)),0))</f>
        <v/>
      </c>
      <c r="L419" s="28"/>
    </row>
    <row r="420" customFormat="false" ht="15" hidden="false" customHeight="false" outlineLevel="0" collapsed="false">
      <c r="A420" s="26"/>
      <c r="B420" s="19" t="str">
        <f aca="false">IF(A420="","",A420+7-WEEKDAY(A420,1)+1)</f>
        <v/>
      </c>
      <c r="C420" s="28"/>
      <c r="D420" s="29"/>
      <c r="E420" s="28"/>
      <c r="F420" s="28"/>
      <c r="G420" s="30"/>
      <c r="H420" s="23" t="str">
        <f aca="false">IF(E420="","",IFERROR(INDEX(Lists!$C$2:$C$86,MATCH(E420,Lists!$A$2:$A$86,0)),"?"))</f>
        <v/>
      </c>
      <c r="I420" s="24" t="str">
        <f aca="false">IF(OR(C420="",E420=""),"",IF(H420="Yes",IFERROR(INDEX(Employees!$E$4:$E$43,MATCH(C420,Employees!$B$4:$B$43,0)),0),0))</f>
        <v/>
      </c>
      <c r="J420" s="25" t="str">
        <f aca="false">IF(G420="","",IF(H420="Yes",G420*I420,0))</f>
        <v/>
      </c>
      <c r="K420" s="25" t="str">
        <f aca="false">IF(OR(C420="",G420=""),"",G420*IFERROR(INDEX(Employees!$F$4:$F$43,MATCH(C420,Employees!$B$4:$B$43,0)),0))</f>
        <v/>
      </c>
      <c r="L420" s="28"/>
    </row>
    <row r="421" customFormat="false" ht="15" hidden="false" customHeight="false" outlineLevel="0" collapsed="false">
      <c r="A421" s="26"/>
      <c r="B421" s="27" t="str">
        <f aca="false">IF(A421="","",A421+7-WEEKDAY(A421,1)+1)</f>
        <v/>
      </c>
      <c r="C421" s="28"/>
      <c r="D421" s="29"/>
      <c r="E421" s="28"/>
      <c r="F421" s="28"/>
      <c r="G421" s="30"/>
      <c r="H421" s="31" t="str">
        <f aca="false">IF(E421="","",IFERROR(INDEX(Lists!$C$2:$C$86,MATCH(E421,Lists!$A$2:$A$86,0)),"?"))</f>
        <v/>
      </c>
      <c r="I421" s="32" t="str">
        <f aca="false">IF(OR(C421="",E421=""),"",IF(H421="Yes",IFERROR(INDEX(Employees!$E$4:$E$43,MATCH(C421,Employees!$B$4:$B$43,0)),0),0))</f>
        <v/>
      </c>
      <c r="J421" s="33" t="str">
        <f aca="false">IF(G421="","",IF(H421="Yes",G421*I421,0))</f>
        <v/>
      </c>
      <c r="K421" s="33" t="str">
        <f aca="false">IF(OR(C421="",G421=""),"",G421*IFERROR(INDEX(Employees!$F$4:$F$43,MATCH(C421,Employees!$B$4:$B$43,0)),0))</f>
        <v/>
      </c>
      <c r="L421" s="28"/>
    </row>
    <row r="422" customFormat="false" ht="15" hidden="false" customHeight="false" outlineLevel="0" collapsed="false">
      <c r="A422" s="26"/>
      <c r="B422" s="19" t="str">
        <f aca="false">IF(A422="","",A422+7-WEEKDAY(A422,1)+1)</f>
        <v/>
      </c>
      <c r="C422" s="28"/>
      <c r="D422" s="29"/>
      <c r="E422" s="28"/>
      <c r="F422" s="28"/>
      <c r="G422" s="30"/>
      <c r="H422" s="23" t="str">
        <f aca="false">IF(E422="","",IFERROR(INDEX(Lists!$C$2:$C$86,MATCH(E422,Lists!$A$2:$A$86,0)),"?"))</f>
        <v/>
      </c>
      <c r="I422" s="24" t="str">
        <f aca="false">IF(OR(C422="",E422=""),"",IF(H422="Yes",IFERROR(INDEX(Employees!$E$4:$E$43,MATCH(C422,Employees!$B$4:$B$43,0)),0),0))</f>
        <v/>
      </c>
      <c r="J422" s="25" t="str">
        <f aca="false">IF(G422="","",IF(H422="Yes",G422*I422,0))</f>
        <v/>
      </c>
      <c r="K422" s="25" t="str">
        <f aca="false">IF(OR(C422="",G422=""),"",G422*IFERROR(INDEX(Employees!$F$4:$F$43,MATCH(C422,Employees!$B$4:$B$43,0)),0))</f>
        <v/>
      </c>
      <c r="L422" s="28"/>
    </row>
    <row r="423" customFormat="false" ht="15" hidden="false" customHeight="false" outlineLevel="0" collapsed="false">
      <c r="A423" s="26"/>
      <c r="B423" s="27" t="str">
        <f aca="false">IF(A423="","",A423+7-WEEKDAY(A423,1)+1)</f>
        <v/>
      </c>
      <c r="C423" s="28"/>
      <c r="D423" s="29"/>
      <c r="E423" s="28"/>
      <c r="F423" s="28"/>
      <c r="G423" s="30"/>
      <c r="H423" s="31" t="str">
        <f aca="false">IF(E423="","",IFERROR(INDEX(Lists!$C$2:$C$86,MATCH(E423,Lists!$A$2:$A$86,0)),"?"))</f>
        <v/>
      </c>
      <c r="I423" s="32" t="str">
        <f aca="false">IF(OR(C423="",E423=""),"",IF(H423="Yes",IFERROR(INDEX(Employees!$E$4:$E$43,MATCH(C423,Employees!$B$4:$B$43,0)),0),0))</f>
        <v/>
      </c>
      <c r="J423" s="33" t="str">
        <f aca="false">IF(G423="","",IF(H423="Yes",G423*I423,0))</f>
        <v/>
      </c>
      <c r="K423" s="33" t="str">
        <f aca="false">IF(OR(C423="",G423=""),"",G423*IFERROR(INDEX(Employees!$F$4:$F$43,MATCH(C423,Employees!$B$4:$B$43,0)),0))</f>
        <v/>
      </c>
      <c r="L423" s="28"/>
    </row>
    <row r="424" customFormat="false" ht="15" hidden="false" customHeight="false" outlineLevel="0" collapsed="false">
      <c r="A424" s="26"/>
      <c r="B424" s="19" t="str">
        <f aca="false">IF(A424="","",A424+7-WEEKDAY(A424,1)+1)</f>
        <v/>
      </c>
      <c r="C424" s="28"/>
      <c r="D424" s="29"/>
      <c r="E424" s="28"/>
      <c r="F424" s="28"/>
      <c r="G424" s="30"/>
      <c r="H424" s="23" t="str">
        <f aca="false">IF(E424="","",IFERROR(INDEX(Lists!$C$2:$C$86,MATCH(E424,Lists!$A$2:$A$86,0)),"?"))</f>
        <v/>
      </c>
      <c r="I424" s="24" t="str">
        <f aca="false">IF(OR(C424="",E424=""),"",IF(H424="Yes",IFERROR(INDEX(Employees!$E$4:$E$43,MATCH(C424,Employees!$B$4:$B$43,0)),0),0))</f>
        <v/>
      </c>
      <c r="J424" s="25" t="str">
        <f aca="false">IF(G424="","",IF(H424="Yes",G424*I424,0))</f>
        <v/>
      </c>
      <c r="K424" s="25" t="str">
        <f aca="false">IF(OR(C424="",G424=""),"",G424*IFERROR(INDEX(Employees!$F$4:$F$43,MATCH(C424,Employees!$B$4:$B$43,0)),0))</f>
        <v/>
      </c>
      <c r="L424" s="28"/>
    </row>
    <row r="425" customFormat="false" ht="15" hidden="false" customHeight="false" outlineLevel="0" collapsed="false">
      <c r="A425" s="26"/>
      <c r="B425" s="27" t="str">
        <f aca="false">IF(A425="","",A425+7-WEEKDAY(A425,1)+1)</f>
        <v/>
      </c>
      <c r="C425" s="28"/>
      <c r="D425" s="29"/>
      <c r="E425" s="28"/>
      <c r="F425" s="28"/>
      <c r="G425" s="30"/>
      <c r="H425" s="31" t="str">
        <f aca="false">IF(E425="","",IFERROR(INDEX(Lists!$C$2:$C$86,MATCH(E425,Lists!$A$2:$A$86,0)),"?"))</f>
        <v/>
      </c>
      <c r="I425" s="32" t="str">
        <f aca="false">IF(OR(C425="",E425=""),"",IF(H425="Yes",IFERROR(INDEX(Employees!$E$4:$E$43,MATCH(C425,Employees!$B$4:$B$43,0)),0),0))</f>
        <v/>
      </c>
      <c r="J425" s="33" t="str">
        <f aca="false">IF(G425="","",IF(H425="Yes",G425*I425,0))</f>
        <v/>
      </c>
      <c r="K425" s="33" t="str">
        <f aca="false">IF(OR(C425="",G425=""),"",G425*IFERROR(INDEX(Employees!$F$4:$F$43,MATCH(C425,Employees!$B$4:$B$43,0)),0))</f>
        <v/>
      </c>
      <c r="L425" s="28"/>
    </row>
    <row r="426" customFormat="false" ht="15" hidden="false" customHeight="false" outlineLevel="0" collapsed="false">
      <c r="A426" s="26"/>
      <c r="B426" s="19" t="str">
        <f aca="false">IF(A426="","",A426+7-WEEKDAY(A426,1)+1)</f>
        <v/>
      </c>
      <c r="C426" s="28"/>
      <c r="D426" s="29"/>
      <c r="E426" s="28"/>
      <c r="F426" s="28"/>
      <c r="G426" s="30"/>
      <c r="H426" s="23" t="str">
        <f aca="false">IF(E426="","",IFERROR(INDEX(Lists!$C$2:$C$86,MATCH(E426,Lists!$A$2:$A$86,0)),"?"))</f>
        <v/>
      </c>
      <c r="I426" s="24" t="str">
        <f aca="false">IF(OR(C426="",E426=""),"",IF(H426="Yes",IFERROR(INDEX(Employees!$E$4:$E$43,MATCH(C426,Employees!$B$4:$B$43,0)),0),0))</f>
        <v/>
      </c>
      <c r="J426" s="25" t="str">
        <f aca="false">IF(G426="","",IF(H426="Yes",G426*I426,0))</f>
        <v/>
      </c>
      <c r="K426" s="25" t="str">
        <f aca="false">IF(OR(C426="",G426=""),"",G426*IFERROR(INDEX(Employees!$F$4:$F$43,MATCH(C426,Employees!$B$4:$B$43,0)),0))</f>
        <v/>
      </c>
      <c r="L426" s="28"/>
    </row>
    <row r="427" customFormat="false" ht="15" hidden="false" customHeight="false" outlineLevel="0" collapsed="false">
      <c r="A427" s="26"/>
      <c r="B427" s="27" t="str">
        <f aca="false">IF(A427="","",A427+7-WEEKDAY(A427,1)+1)</f>
        <v/>
      </c>
      <c r="C427" s="28"/>
      <c r="D427" s="29"/>
      <c r="E427" s="28"/>
      <c r="F427" s="28"/>
      <c r="G427" s="30"/>
      <c r="H427" s="31" t="str">
        <f aca="false">IF(E427="","",IFERROR(INDEX(Lists!$C$2:$C$86,MATCH(E427,Lists!$A$2:$A$86,0)),"?"))</f>
        <v/>
      </c>
      <c r="I427" s="32" t="str">
        <f aca="false">IF(OR(C427="",E427=""),"",IF(H427="Yes",IFERROR(INDEX(Employees!$E$4:$E$43,MATCH(C427,Employees!$B$4:$B$43,0)),0),0))</f>
        <v/>
      </c>
      <c r="J427" s="33" t="str">
        <f aca="false">IF(G427="","",IF(H427="Yes",G427*I427,0))</f>
        <v/>
      </c>
      <c r="K427" s="33" t="str">
        <f aca="false">IF(OR(C427="",G427=""),"",G427*IFERROR(INDEX(Employees!$F$4:$F$43,MATCH(C427,Employees!$B$4:$B$43,0)),0))</f>
        <v/>
      </c>
      <c r="L427" s="28"/>
    </row>
    <row r="428" customFormat="false" ht="15" hidden="false" customHeight="false" outlineLevel="0" collapsed="false">
      <c r="A428" s="26"/>
      <c r="B428" s="19" t="str">
        <f aca="false">IF(A428="","",A428+7-WEEKDAY(A428,1)+1)</f>
        <v/>
      </c>
      <c r="C428" s="28"/>
      <c r="D428" s="29"/>
      <c r="E428" s="28"/>
      <c r="F428" s="28"/>
      <c r="G428" s="30"/>
      <c r="H428" s="23" t="str">
        <f aca="false">IF(E428="","",IFERROR(INDEX(Lists!$C$2:$C$86,MATCH(E428,Lists!$A$2:$A$86,0)),"?"))</f>
        <v/>
      </c>
      <c r="I428" s="24" t="str">
        <f aca="false">IF(OR(C428="",E428=""),"",IF(H428="Yes",IFERROR(INDEX(Employees!$E$4:$E$43,MATCH(C428,Employees!$B$4:$B$43,0)),0),0))</f>
        <v/>
      </c>
      <c r="J428" s="25" t="str">
        <f aca="false">IF(G428="","",IF(H428="Yes",G428*I428,0))</f>
        <v/>
      </c>
      <c r="K428" s="25" t="str">
        <f aca="false">IF(OR(C428="",G428=""),"",G428*IFERROR(INDEX(Employees!$F$4:$F$43,MATCH(C428,Employees!$B$4:$B$43,0)),0))</f>
        <v/>
      </c>
      <c r="L428" s="28"/>
    </row>
    <row r="429" customFormat="false" ht="15" hidden="false" customHeight="false" outlineLevel="0" collapsed="false">
      <c r="A429" s="26"/>
      <c r="B429" s="27" t="str">
        <f aca="false">IF(A429="","",A429+7-WEEKDAY(A429,1)+1)</f>
        <v/>
      </c>
      <c r="C429" s="28"/>
      <c r="D429" s="29"/>
      <c r="E429" s="28"/>
      <c r="F429" s="28"/>
      <c r="G429" s="30"/>
      <c r="H429" s="31" t="str">
        <f aca="false">IF(E429="","",IFERROR(INDEX(Lists!$C$2:$C$86,MATCH(E429,Lists!$A$2:$A$86,0)),"?"))</f>
        <v/>
      </c>
      <c r="I429" s="32" t="str">
        <f aca="false">IF(OR(C429="",E429=""),"",IF(H429="Yes",IFERROR(INDEX(Employees!$E$4:$E$43,MATCH(C429,Employees!$B$4:$B$43,0)),0),0))</f>
        <v/>
      </c>
      <c r="J429" s="33" t="str">
        <f aca="false">IF(G429="","",IF(H429="Yes",G429*I429,0))</f>
        <v/>
      </c>
      <c r="K429" s="33" t="str">
        <f aca="false">IF(OR(C429="",G429=""),"",G429*IFERROR(INDEX(Employees!$F$4:$F$43,MATCH(C429,Employees!$B$4:$B$43,0)),0))</f>
        <v/>
      </c>
      <c r="L429" s="28"/>
    </row>
    <row r="430" customFormat="false" ht="15" hidden="false" customHeight="false" outlineLevel="0" collapsed="false">
      <c r="A430" s="26"/>
      <c r="B430" s="19" t="str">
        <f aca="false">IF(A430="","",A430+7-WEEKDAY(A430,1)+1)</f>
        <v/>
      </c>
      <c r="C430" s="28"/>
      <c r="D430" s="29"/>
      <c r="E430" s="28"/>
      <c r="F430" s="28"/>
      <c r="G430" s="30"/>
      <c r="H430" s="23" t="str">
        <f aca="false">IF(E430="","",IFERROR(INDEX(Lists!$C$2:$C$86,MATCH(E430,Lists!$A$2:$A$86,0)),"?"))</f>
        <v/>
      </c>
      <c r="I430" s="24" t="str">
        <f aca="false">IF(OR(C430="",E430=""),"",IF(H430="Yes",IFERROR(INDEX(Employees!$E$4:$E$43,MATCH(C430,Employees!$B$4:$B$43,0)),0),0))</f>
        <v/>
      </c>
      <c r="J430" s="25" t="str">
        <f aca="false">IF(G430="","",IF(H430="Yes",G430*I430,0))</f>
        <v/>
      </c>
      <c r="K430" s="25" t="str">
        <f aca="false">IF(OR(C430="",G430=""),"",G430*IFERROR(INDEX(Employees!$F$4:$F$43,MATCH(C430,Employees!$B$4:$B$43,0)),0))</f>
        <v/>
      </c>
      <c r="L430" s="28"/>
    </row>
    <row r="431" customFormat="false" ht="15" hidden="false" customHeight="false" outlineLevel="0" collapsed="false">
      <c r="A431" s="26"/>
      <c r="B431" s="27" t="str">
        <f aca="false">IF(A431="","",A431+7-WEEKDAY(A431,1)+1)</f>
        <v/>
      </c>
      <c r="C431" s="28"/>
      <c r="D431" s="29"/>
      <c r="E431" s="28"/>
      <c r="F431" s="28"/>
      <c r="G431" s="30"/>
      <c r="H431" s="31" t="str">
        <f aca="false">IF(E431="","",IFERROR(INDEX(Lists!$C$2:$C$86,MATCH(E431,Lists!$A$2:$A$86,0)),"?"))</f>
        <v/>
      </c>
      <c r="I431" s="32" t="str">
        <f aca="false">IF(OR(C431="",E431=""),"",IF(H431="Yes",IFERROR(INDEX(Employees!$E$4:$E$43,MATCH(C431,Employees!$B$4:$B$43,0)),0),0))</f>
        <v/>
      </c>
      <c r="J431" s="33" t="str">
        <f aca="false">IF(G431="","",IF(H431="Yes",G431*I431,0))</f>
        <v/>
      </c>
      <c r="K431" s="33" t="str">
        <f aca="false">IF(OR(C431="",G431=""),"",G431*IFERROR(INDEX(Employees!$F$4:$F$43,MATCH(C431,Employees!$B$4:$B$43,0)),0))</f>
        <v/>
      </c>
      <c r="L431" s="28"/>
    </row>
    <row r="432" customFormat="false" ht="15" hidden="false" customHeight="false" outlineLevel="0" collapsed="false">
      <c r="A432" s="26"/>
      <c r="B432" s="19" t="str">
        <f aca="false">IF(A432="","",A432+7-WEEKDAY(A432,1)+1)</f>
        <v/>
      </c>
      <c r="C432" s="28"/>
      <c r="D432" s="29"/>
      <c r="E432" s="28"/>
      <c r="F432" s="28"/>
      <c r="G432" s="30"/>
      <c r="H432" s="23" t="str">
        <f aca="false">IF(E432="","",IFERROR(INDEX(Lists!$C$2:$C$86,MATCH(E432,Lists!$A$2:$A$86,0)),"?"))</f>
        <v/>
      </c>
      <c r="I432" s="24" t="str">
        <f aca="false">IF(OR(C432="",E432=""),"",IF(H432="Yes",IFERROR(INDEX(Employees!$E$4:$E$43,MATCH(C432,Employees!$B$4:$B$43,0)),0),0))</f>
        <v/>
      </c>
      <c r="J432" s="25" t="str">
        <f aca="false">IF(G432="","",IF(H432="Yes",G432*I432,0))</f>
        <v/>
      </c>
      <c r="K432" s="25" t="str">
        <f aca="false">IF(OR(C432="",G432=""),"",G432*IFERROR(INDEX(Employees!$F$4:$F$43,MATCH(C432,Employees!$B$4:$B$43,0)),0))</f>
        <v/>
      </c>
      <c r="L432" s="28"/>
    </row>
    <row r="433" customFormat="false" ht="15" hidden="false" customHeight="false" outlineLevel="0" collapsed="false">
      <c r="A433" s="26"/>
      <c r="B433" s="27" t="str">
        <f aca="false">IF(A433="","",A433+7-WEEKDAY(A433,1)+1)</f>
        <v/>
      </c>
      <c r="C433" s="28"/>
      <c r="D433" s="29"/>
      <c r="E433" s="28"/>
      <c r="F433" s="28"/>
      <c r="G433" s="30"/>
      <c r="H433" s="31" t="str">
        <f aca="false">IF(E433="","",IFERROR(INDEX(Lists!$C$2:$C$86,MATCH(E433,Lists!$A$2:$A$86,0)),"?"))</f>
        <v/>
      </c>
      <c r="I433" s="32" t="str">
        <f aca="false">IF(OR(C433="",E433=""),"",IF(H433="Yes",IFERROR(INDEX(Employees!$E$4:$E$43,MATCH(C433,Employees!$B$4:$B$43,0)),0),0))</f>
        <v/>
      </c>
      <c r="J433" s="33" t="str">
        <f aca="false">IF(G433="","",IF(H433="Yes",G433*I433,0))</f>
        <v/>
      </c>
      <c r="K433" s="33" t="str">
        <f aca="false">IF(OR(C433="",G433=""),"",G433*IFERROR(INDEX(Employees!$F$4:$F$43,MATCH(C433,Employees!$B$4:$B$43,0)),0))</f>
        <v/>
      </c>
      <c r="L433" s="28"/>
    </row>
    <row r="434" customFormat="false" ht="15" hidden="false" customHeight="false" outlineLevel="0" collapsed="false">
      <c r="A434" s="26"/>
      <c r="B434" s="19" t="str">
        <f aca="false">IF(A434="","",A434+7-WEEKDAY(A434,1)+1)</f>
        <v/>
      </c>
      <c r="C434" s="28"/>
      <c r="D434" s="29"/>
      <c r="E434" s="28"/>
      <c r="F434" s="28"/>
      <c r="G434" s="30"/>
      <c r="H434" s="23" t="str">
        <f aca="false">IF(E434="","",IFERROR(INDEX(Lists!$C$2:$C$86,MATCH(E434,Lists!$A$2:$A$86,0)),"?"))</f>
        <v/>
      </c>
      <c r="I434" s="24" t="str">
        <f aca="false">IF(OR(C434="",E434=""),"",IF(H434="Yes",IFERROR(INDEX(Employees!$E$4:$E$43,MATCH(C434,Employees!$B$4:$B$43,0)),0),0))</f>
        <v/>
      </c>
      <c r="J434" s="25" t="str">
        <f aca="false">IF(G434="","",IF(H434="Yes",G434*I434,0))</f>
        <v/>
      </c>
      <c r="K434" s="25" t="str">
        <f aca="false">IF(OR(C434="",G434=""),"",G434*IFERROR(INDEX(Employees!$F$4:$F$43,MATCH(C434,Employees!$B$4:$B$43,0)),0))</f>
        <v/>
      </c>
      <c r="L434" s="28"/>
    </row>
    <row r="435" customFormat="false" ht="15" hidden="false" customHeight="false" outlineLevel="0" collapsed="false">
      <c r="A435" s="26"/>
      <c r="B435" s="27" t="str">
        <f aca="false">IF(A435="","",A435+7-WEEKDAY(A435,1)+1)</f>
        <v/>
      </c>
      <c r="C435" s="28"/>
      <c r="D435" s="29"/>
      <c r="E435" s="28"/>
      <c r="F435" s="28"/>
      <c r="G435" s="30"/>
      <c r="H435" s="31" t="str">
        <f aca="false">IF(E435="","",IFERROR(INDEX(Lists!$C$2:$C$86,MATCH(E435,Lists!$A$2:$A$86,0)),"?"))</f>
        <v/>
      </c>
      <c r="I435" s="32" t="str">
        <f aca="false">IF(OR(C435="",E435=""),"",IF(H435="Yes",IFERROR(INDEX(Employees!$E$4:$E$43,MATCH(C435,Employees!$B$4:$B$43,0)),0),0))</f>
        <v/>
      </c>
      <c r="J435" s="33" t="str">
        <f aca="false">IF(G435="","",IF(H435="Yes",G435*I435,0))</f>
        <v/>
      </c>
      <c r="K435" s="33" t="str">
        <f aca="false">IF(OR(C435="",G435=""),"",G435*IFERROR(INDEX(Employees!$F$4:$F$43,MATCH(C435,Employees!$B$4:$B$43,0)),0))</f>
        <v/>
      </c>
      <c r="L435" s="28"/>
    </row>
    <row r="436" customFormat="false" ht="15" hidden="false" customHeight="false" outlineLevel="0" collapsed="false">
      <c r="A436" s="26"/>
      <c r="B436" s="19" t="str">
        <f aca="false">IF(A436="","",A436+7-WEEKDAY(A436,1)+1)</f>
        <v/>
      </c>
      <c r="C436" s="28"/>
      <c r="D436" s="29"/>
      <c r="E436" s="28"/>
      <c r="F436" s="28"/>
      <c r="G436" s="30"/>
      <c r="H436" s="23" t="str">
        <f aca="false">IF(E436="","",IFERROR(INDEX(Lists!$C$2:$C$86,MATCH(E436,Lists!$A$2:$A$86,0)),"?"))</f>
        <v/>
      </c>
      <c r="I436" s="24" t="str">
        <f aca="false">IF(OR(C436="",E436=""),"",IF(H436="Yes",IFERROR(INDEX(Employees!$E$4:$E$43,MATCH(C436,Employees!$B$4:$B$43,0)),0),0))</f>
        <v/>
      </c>
      <c r="J436" s="25" t="str">
        <f aca="false">IF(G436="","",IF(H436="Yes",G436*I436,0))</f>
        <v/>
      </c>
      <c r="K436" s="25" t="str">
        <f aca="false">IF(OR(C436="",G436=""),"",G436*IFERROR(INDEX(Employees!$F$4:$F$43,MATCH(C436,Employees!$B$4:$B$43,0)),0))</f>
        <v/>
      </c>
      <c r="L436" s="28"/>
    </row>
    <row r="437" customFormat="false" ht="15" hidden="false" customHeight="false" outlineLevel="0" collapsed="false">
      <c r="A437" s="26"/>
      <c r="B437" s="27" t="str">
        <f aca="false">IF(A437="","",A437+7-WEEKDAY(A437,1)+1)</f>
        <v/>
      </c>
      <c r="C437" s="28"/>
      <c r="D437" s="29"/>
      <c r="E437" s="28"/>
      <c r="F437" s="28"/>
      <c r="G437" s="30"/>
      <c r="H437" s="31" t="str">
        <f aca="false">IF(E437="","",IFERROR(INDEX(Lists!$C$2:$C$86,MATCH(E437,Lists!$A$2:$A$86,0)),"?"))</f>
        <v/>
      </c>
      <c r="I437" s="32" t="str">
        <f aca="false">IF(OR(C437="",E437=""),"",IF(H437="Yes",IFERROR(INDEX(Employees!$E$4:$E$43,MATCH(C437,Employees!$B$4:$B$43,0)),0),0))</f>
        <v/>
      </c>
      <c r="J437" s="33" t="str">
        <f aca="false">IF(G437="","",IF(H437="Yes",G437*I437,0))</f>
        <v/>
      </c>
      <c r="K437" s="33" t="str">
        <f aca="false">IF(OR(C437="",G437=""),"",G437*IFERROR(INDEX(Employees!$F$4:$F$43,MATCH(C437,Employees!$B$4:$B$43,0)),0))</f>
        <v/>
      </c>
      <c r="L437" s="28"/>
    </row>
    <row r="438" customFormat="false" ht="15" hidden="false" customHeight="false" outlineLevel="0" collapsed="false">
      <c r="A438" s="26"/>
      <c r="B438" s="19" t="str">
        <f aca="false">IF(A438="","",A438+7-WEEKDAY(A438,1)+1)</f>
        <v/>
      </c>
      <c r="C438" s="28"/>
      <c r="D438" s="29"/>
      <c r="E438" s="28"/>
      <c r="F438" s="28"/>
      <c r="G438" s="30"/>
      <c r="H438" s="23" t="str">
        <f aca="false">IF(E438="","",IFERROR(INDEX(Lists!$C$2:$C$86,MATCH(E438,Lists!$A$2:$A$86,0)),"?"))</f>
        <v/>
      </c>
      <c r="I438" s="24" t="str">
        <f aca="false">IF(OR(C438="",E438=""),"",IF(H438="Yes",IFERROR(INDEX(Employees!$E$4:$E$43,MATCH(C438,Employees!$B$4:$B$43,0)),0),0))</f>
        <v/>
      </c>
      <c r="J438" s="25" t="str">
        <f aca="false">IF(G438="","",IF(H438="Yes",G438*I438,0))</f>
        <v/>
      </c>
      <c r="K438" s="25" t="str">
        <f aca="false">IF(OR(C438="",G438=""),"",G438*IFERROR(INDEX(Employees!$F$4:$F$43,MATCH(C438,Employees!$B$4:$B$43,0)),0))</f>
        <v/>
      </c>
      <c r="L438" s="28"/>
    </row>
    <row r="439" customFormat="false" ht="15" hidden="false" customHeight="false" outlineLevel="0" collapsed="false">
      <c r="A439" s="26"/>
      <c r="B439" s="27" t="str">
        <f aca="false">IF(A439="","",A439+7-WEEKDAY(A439,1)+1)</f>
        <v/>
      </c>
      <c r="C439" s="28"/>
      <c r="D439" s="29"/>
      <c r="E439" s="28"/>
      <c r="F439" s="28"/>
      <c r="G439" s="30"/>
      <c r="H439" s="31" t="str">
        <f aca="false">IF(E439="","",IFERROR(INDEX(Lists!$C$2:$C$86,MATCH(E439,Lists!$A$2:$A$86,0)),"?"))</f>
        <v/>
      </c>
      <c r="I439" s="32" t="str">
        <f aca="false">IF(OR(C439="",E439=""),"",IF(H439="Yes",IFERROR(INDEX(Employees!$E$4:$E$43,MATCH(C439,Employees!$B$4:$B$43,0)),0),0))</f>
        <v/>
      </c>
      <c r="J439" s="33" t="str">
        <f aca="false">IF(G439="","",IF(H439="Yes",G439*I439,0))</f>
        <v/>
      </c>
      <c r="K439" s="33" t="str">
        <f aca="false">IF(OR(C439="",G439=""),"",G439*IFERROR(INDEX(Employees!$F$4:$F$43,MATCH(C439,Employees!$B$4:$B$43,0)),0))</f>
        <v/>
      </c>
      <c r="L439" s="28"/>
    </row>
    <row r="440" customFormat="false" ht="15" hidden="false" customHeight="false" outlineLevel="0" collapsed="false">
      <c r="A440" s="26"/>
      <c r="B440" s="19" t="str">
        <f aca="false">IF(A440="","",A440+7-WEEKDAY(A440,1)+1)</f>
        <v/>
      </c>
      <c r="C440" s="28"/>
      <c r="D440" s="29"/>
      <c r="E440" s="28"/>
      <c r="F440" s="28"/>
      <c r="G440" s="30"/>
      <c r="H440" s="23" t="str">
        <f aca="false">IF(E440="","",IFERROR(INDEX(Lists!$C$2:$C$86,MATCH(E440,Lists!$A$2:$A$86,0)),"?"))</f>
        <v/>
      </c>
      <c r="I440" s="24" t="str">
        <f aca="false">IF(OR(C440="",E440=""),"",IF(H440="Yes",IFERROR(INDEX(Employees!$E$4:$E$43,MATCH(C440,Employees!$B$4:$B$43,0)),0),0))</f>
        <v/>
      </c>
      <c r="J440" s="25" t="str">
        <f aca="false">IF(G440="","",IF(H440="Yes",G440*I440,0))</f>
        <v/>
      </c>
      <c r="K440" s="25" t="str">
        <f aca="false">IF(OR(C440="",G440=""),"",G440*IFERROR(INDEX(Employees!$F$4:$F$43,MATCH(C440,Employees!$B$4:$B$43,0)),0))</f>
        <v/>
      </c>
      <c r="L440" s="28"/>
    </row>
    <row r="441" customFormat="false" ht="15" hidden="false" customHeight="false" outlineLevel="0" collapsed="false">
      <c r="A441" s="26"/>
      <c r="B441" s="27" t="str">
        <f aca="false">IF(A441="","",A441+7-WEEKDAY(A441,1)+1)</f>
        <v/>
      </c>
      <c r="C441" s="28"/>
      <c r="D441" s="29"/>
      <c r="E441" s="28"/>
      <c r="F441" s="28"/>
      <c r="G441" s="30"/>
      <c r="H441" s="31" t="str">
        <f aca="false">IF(E441="","",IFERROR(INDEX(Lists!$C$2:$C$86,MATCH(E441,Lists!$A$2:$A$86,0)),"?"))</f>
        <v/>
      </c>
      <c r="I441" s="32" t="str">
        <f aca="false">IF(OR(C441="",E441=""),"",IF(H441="Yes",IFERROR(INDEX(Employees!$E$4:$E$43,MATCH(C441,Employees!$B$4:$B$43,0)),0),0))</f>
        <v/>
      </c>
      <c r="J441" s="33" t="str">
        <f aca="false">IF(G441="","",IF(H441="Yes",G441*I441,0))</f>
        <v/>
      </c>
      <c r="K441" s="33" t="str">
        <f aca="false">IF(OR(C441="",G441=""),"",G441*IFERROR(INDEX(Employees!$F$4:$F$43,MATCH(C441,Employees!$B$4:$B$43,0)),0))</f>
        <v/>
      </c>
      <c r="L441" s="28"/>
    </row>
    <row r="442" customFormat="false" ht="15" hidden="false" customHeight="false" outlineLevel="0" collapsed="false">
      <c r="A442" s="26"/>
      <c r="B442" s="19" t="str">
        <f aca="false">IF(A442="","",A442+7-WEEKDAY(A442,1)+1)</f>
        <v/>
      </c>
      <c r="C442" s="28"/>
      <c r="D442" s="29"/>
      <c r="E442" s="28"/>
      <c r="F442" s="28"/>
      <c r="G442" s="30"/>
      <c r="H442" s="23" t="str">
        <f aca="false">IF(E442="","",IFERROR(INDEX(Lists!$C$2:$C$86,MATCH(E442,Lists!$A$2:$A$86,0)),"?"))</f>
        <v/>
      </c>
      <c r="I442" s="24" t="str">
        <f aca="false">IF(OR(C442="",E442=""),"",IF(H442="Yes",IFERROR(INDEX(Employees!$E$4:$E$43,MATCH(C442,Employees!$B$4:$B$43,0)),0),0))</f>
        <v/>
      </c>
      <c r="J442" s="25" t="str">
        <f aca="false">IF(G442="","",IF(H442="Yes",G442*I442,0))</f>
        <v/>
      </c>
      <c r="K442" s="25" t="str">
        <f aca="false">IF(OR(C442="",G442=""),"",G442*IFERROR(INDEX(Employees!$F$4:$F$43,MATCH(C442,Employees!$B$4:$B$43,0)),0))</f>
        <v/>
      </c>
      <c r="L442" s="28"/>
    </row>
    <row r="443" customFormat="false" ht="15" hidden="false" customHeight="false" outlineLevel="0" collapsed="false">
      <c r="A443" s="26"/>
      <c r="B443" s="27" t="str">
        <f aca="false">IF(A443="","",A443+7-WEEKDAY(A443,1)+1)</f>
        <v/>
      </c>
      <c r="C443" s="28"/>
      <c r="D443" s="29"/>
      <c r="E443" s="28"/>
      <c r="F443" s="28"/>
      <c r="G443" s="30"/>
      <c r="H443" s="31" t="str">
        <f aca="false">IF(E443="","",IFERROR(INDEX(Lists!$C$2:$C$86,MATCH(E443,Lists!$A$2:$A$86,0)),"?"))</f>
        <v/>
      </c>
      <c r="I443" s="32" t="str">
        <f aca="false">IF(OR(C443="",E443=""),"",IF(H443="Yes",IFERROR(INDEX(Employees!$E$4:$E$43,MATCH(C443,Employees!$B$4:$B$43,0)),0),0))</f>
        <v/>
      </c>
      <c r="J443" s="33" t="str">
        <f aca="false">IF(G443="","",IF(H443="Yes",G443*I443,0))</f>
        <v/>
      </c>
      <c r="K443" s="33" t="str">
        <f aca="false">IF(OR(C443="",G443=""),"",G443*IFERROR(INDEX(Employees!$F$4:$F$43,MATCH(C443,Employees!$B$4:$B$43,0)),0))</f>
        <v/>
      </c>
      <c r="L443" s="28"/>
    </row>
    <row r="444" customFormat="false" ht="15" hidden="false" customHeight="false" outlineLevel="0" collapsed="false">
      <c r="A444" s="26"/>
      <c r="B444" s="19" t="str">
        <f aca="false">IF(A444="","",A444+7-WEEKDAY(A444,1)+1)</f>
        <v/>
      </c>
      <c r="C444" s="28"/>
      <c r="D444" s="29"/>
      <c r="E444" s="28"/>
      <c r="F444" s="28"/>
      <c r="G444" s="30"/>
      <c r="H444" s="23" t="str">
        <f aca="false">IF(E444="","",IFERROR(INDEX(Lists!$C$2:$C$86,MATCH(E444,Lists!$A$2:$A$86,0)),"?"))</f>
        <v/>
      </c>
      <c r="I444" s="24" t="str">
        <f aca="false">IF(OR(C444="",E444=""),"",IF(H444="Yes",IFERROR(INDEX(Employees!$E$4:$E$43,MATCH(C444,Employees!$B$4:$B$43,0)),0),0))</f>
        <v/>
      </c>
      <c r="J444" s="25" t="str">
        <f aca="false">IF(G444="","",IF(H444="Yes",G444*I444,0))</f>
        <v/>
      </c>
      <c r="K444" s="25" t="str">
        <f aca="false">IF(OR(C444="",G444=""),"",G444*IFERROR(INDEX(Employees!$F$4:$F$43,MATCH(C444,Employees!$B$4:$B$43,0)),0))</f>
        <v/>
      </c>
      <c r="L444" s="28"/>
    </row>
    <row r="445" customFormat="false" ht="15" hidden="false" customHeight="false" outlineLevel="0" collapsed="false">
      <c r="A445" s="26"/>
      <c r="B445" s="27" t="str">
        <f aca="false">IF(A445="","",A445+7-WEEKDAY(A445,1)+1)</f>
        <v/>
      </c>
      <c r="C445" s="28"/>
      <c r="D445" s="29"/>
      <c r="E445" s="28"/>
      <c r="F445" s="28"/>
      <c r="G445" s="30"/>
      <c r="H445" s="31" t="str">
        <f aca="false">IF(E445="","",IFERROR(INDEX(Lists!$C$2:$C$86,MATCH(E445,Lists!$A$2:$A$86,0)),"?"))</f>
        <v/>
      </c>
      <c r="I445" s="32" t="str">
        <f aca="false">IF(OR(C445="",E445=""),"",IF(H445="Yes",IFERROR(INDEX(Employees!$E$4:$E$43,MATCH(C445,Employees!$B$4:$B$43,0)),0),0))</f>
        <v/>
      </c>
      <c r="J445" s="33" t="str">
        <f aca="false">IF(G445="","",IF(H445="Yes",G445*I445,0))</f>
        <v/>
      </c>
      <c r="K445" s="33" t="str">
        <f aca="false">IF(OR(C445="",G445=""),"",G445*IFERROR(INDEX(Employees!$F$4:$F$43,MATCH(C445,Employees!$B$4:$B$43,0)),0))</f>
        <v/>
      </c>
      <c r="L445" s="28"/>
    </row>
    <row r="446" customFormat="false" ht="15" hidden="false" customHeight="false" outlineLevel="0" collapsed="false">
      <c r="A446" s="26"/>
      <c r="B446" s="19" t="str">
        <f aca="false">IF(A446="","",A446+7-WEEKDAY(A446,1)+1)</f>
        <v/>
      </c>
      <c r="C446" s="28"/>
      <c r="D446" s="29"/>
      <c r="E446" s="28"/>
      <c r="F446" s="28"/>
      <c r="G446" s="30"/>
      <c r="H446" s="23" t="str">
        <f aca="false">IF(E446="","",IFERROR(INDEX(Lists!$C$2:$C$86,MATCH(E446,Lists!$A$2:$A$86,0)),"?"))</f>
        <v/>
      </c>
      <c r="I446" s="24" t="str">
        <f aca="false">IF(OR(C446="",E446=""),"",IF(H446="Yes",IFERROR(INDEX(Employees!$E$4:$E$43,MATCH(C446,Employees!$B$4:$B$43,0)),0),0))</f>
        <v/>
      </c>
      <c r="J446" s="25" t="str">
        <f aca="false">IF(G446="","",IF(H446="Yes",G446*I446,0))</f>
        <v/>
      </c>
      <c r="K446" s="25" t="str">
        <f aca="false">IF(OR(C446="",G446=""),"",G446*IFERROR(INDEX(Employees!$F$4:$F$43,MATCH(C446,Employees!$B$4:$B$43,0)),0))</f>
        <v/>
      </c>
      <c r="L446" s="28"/>
    </row>
    <row r="447" customFormat="false" ht="15" hidden="false" customHeight="false" outlineLevel="0" collapsed="false">
      <c r="A447" s="26"/>
      <c r="B447" s="27" t="str">
        <f aca="false">IF(A447="","",A447+7-WEEKDAY(A447,1)+1)</f>
        <v/>
      </c>
      <c r="C447" s="28"/>
      <c r="D447" s="29"/>
      <c r="E447" s="28"/>
      <c r="F447" s="28"/>
      <c r="G447" s="30"/>
      <c r="H447" s="31" t="str">
        <f aca="false">IF(E447="","",IFERROR(INDEX(Lists!$C$2:$C$86,MATCH(E447,Lists!$A$2:$A$86,0)),"?"))</f>
        <v/>
      </c>
      <c r="I447" s="32" t="str">
        <f aca="false">IF(OR(C447="",E447=""),"",IF(H447="Yes",IFERROR(INDEX(Employees!$E$4:$E$43,MATCH(C447,Employees!$B$4:$B$43,0)),0),0))</f>
        <v/>
      </c>
      <c r="J447" s="33" t="str">
        <f aca="false">IF(G447="","",IF(H447="Yes",G447*I447,0))</f>
        <v/>
      </c>
      <c r="K447" s="33" t="str">
        <f aca="false">IF(OR(C447="",G447=""),"",G447*IFERROR(INDEX(Employees!$F$4:$F$43,MATCH(C447,Employees!$B$4:$B$43,0)),0))</f>
        <v/>
      </c>
      <c r="L447" s="28"/>
    </row>
    <row r="448" customFormat="false" ht="15" hidden="false" customHeight="false" outlineLevel="0" collapsed="false">
      <c r="A448" s="26"/>
      <c r="B448" s="19" t="str">
        <f aca="false">IF(A448="","",A448+7-WEEKDAY(A448,1)+1)</f>
        <v/>
      </c>
      <c r="C448" s="28"/>
      <c r="D448" s="29"/>
      <c r="E448" s="28"/>
      <c r="F448" s="28"/>
      <c r="G448" s="30"/>
      <c r="H448" s="23" t="str">
        <f aca="false">IF(E448="","",IFERROR(INDEX(Lists!$C$2:$C$86,MATCH(E448,Lists!$A$2:$A$86,0)),"?"))</f>
        <v/>
      </c>
      <c r="I448" s="24" t="str">
        <f aca="false">IF(OR(C448="",E448=""),"",IF(H448="Yes",IFERROR(INDEX(Employees!$E$4:$E$43,MATCH(C448,Employees!$B$4:$B$43,0)),0),0))</f>
        <v/>
      </c>
      <c r="J448" s="25" t="str">
        <f aca="false">IF(G448="","",IF(H448="Yes",G448*I448,0))</f>
        <v/>
      </c>
      <c r="K448" s="25" t="str">
        <f aca="false">IF(OR(C448="",G448=""),"",G448*IFERROR(INDEX(Employees!$F$4:$F$43,MATCH(C448,Employees!$B$4:$B$43,0)),0))</f>
        <v/>
      </c>
      <c r="L448" s="28"/>
    </row>
    <row r="449" customFormat="false" ht="15" hidden="false" customHeight="false" outlineLevel="0" collapsed="false">
      <c r="A449" s="26"/>
      <c r="B449" s="27" t="str">
        <f aca="false">IF(A449="","",A449+7-WEEKDAY(A449,1)+1)</f>
        <v/>
      </c>
      <c r="C449" s="28"/>
      <c r="D449" s="29"/>
      <c r="E449" s="28"/>
      <c r="F449" s="28"/>
      <c r="G449" s="30"/>
      <c r="H449" s="31" t="str">
        <f aca="false">IF(E449="","",IFERROR(INDEX(Lists!$C$2:$C$86,MATCH(E449,Lists!$A$2:$A$86,0)),"?"))</f>
        <v/>
      </c>
      <c r="I449" s="32" t="str">
        <f aca="false">IF(OR(C449="",E449=""),"",IF(H449="Yes",IFERROR(INDEX(Employees!$E$4:$E$43,MATCH(C449,Employees!$B$4:$B$43,0)),0),0))</f>
        <v/>
      </c>
      <c r="J449" s="33" t="str">
        <f aca="false">IF(G449="","",IF(H449="Yes",G449*I449,0))</f>
        <v/>
      </c>
      <c r="K449" s="33" t="str">
        <f aca="false">IF(OR(C449="",G449=""),"",G449*IFERROR(INDEX(Employees!$F$4:$F$43,MATCH(C449,Employees!$B$4:$B$43,0)),0))</f>
        <v/>
      </c>
      <c r="L449" s="28"/>
    </row>
    <row r="450" customFormat="false" ht="15" hidden="false" customHeight="false" outlineLevel="0" collapsed="false">
      <c r="A450" s="26"/>
      <c r="B450" s="19" t="str">
        <f aca="false">IF(A450="","",A450+7-WEEKDAY(A450,1)+1)</f>
        <v/>
      </c>
      <c r="C450" s="28"/>
      <c r="D450" s="29"/>
      <c r="E450" s="28"/>
      <c r="F450" s="28"/>
      <c r="G450" s="30"/>
      <c r="H450" s="23" t="str">
        <f aca="false">IF(E450="","",IFERROR(INDEX(Lists!$C$2:$C$86,MATCH(E450,Lists!$A$2:$A$86,0)),"?"))</f>
        <v/>
      </c>
      <c r="I450" s="24" t="str">
        <f aca="false">IF(OR(C450="",E450=""),"",IF(H450="Yes",IFERROR(INDEX(Employees!$E$4:$E$43,MATCH(C450,Employees!$B$4:$B$43,0)),0),0))</f>
        <v/>
      </c>
      <c r="J450" s="25" t="str">
        <f aca="false">IF(G450="","",IF(H450="Yes",G450*I450,0))</f>
        <v/>
      </c>
      <c r="K450" s="25" t="str">
        <f aca="false">IF(OR(C450="",G450=""),"",G450*IFERROR(INDEX(Employees!$F$4:$F$43,MATCH(C450,Employees!$B$4:$B$43,0)),0))</f>
        <v/>
      </c>
      <c r="L450" s="28"/>
    </row>
    <row r="451" customFormat="false" ht="15" hidden="false" customHeight="false" outlineLevel="0" collapsed="false">
      <c r="A451" s="26"/>
      <c r="B451" s="27" t="str">
        <f aca="false">IF(A451="","",A451+7-WEEKDAY(A451,1)+1)</f>
        <v/>
      </c>
      <c r="C451" s="28"/>
      <c r="D451" s="29"/>
      <c r="E451" s="28"/>
      <c r="F451" s="28"/>
      <c r="G451" s="30"/>
      <c r="H451" s="31" t="str">
        <f aca="false">IF(E451="","",IFERROR(INDEX(Lists!$C$2:$C$86,MATCH(E451,Lists!$A$2:$A$86,0)),"?"))</f>
        <v/>
      </c>
      <c r="I451" s="32" t="str">
        <f aca="false">IF(OR(C451="",E451=""),"",IF(H451="Yes",IFERROR(INDEX(Employees!$E$4:$E$43,MATCH(C451,Employees!$B$4:$B$43,0)),0),0))</f>
        <v/>
      </c>
      <c r="J451" s="33" t="str">
        <f aca="false">IF(G451="","",IF(H451="Yes",G451*I451,0))</f>
        <v/>
      </c>
      <c r="K451" s="33" t="str">
        <f aca="false">IF(OR(C451="",G451=""),"",G451*IFERROR(INDEX(Employees!$F$4:$F$43,MATCH(C451,Employees!$B$4:$B$43,0)),0))</f>
        <v/>
      </c>
      <c r="L451" s="28"/>
    </row>
    <row r="452" customFormat="false" ht="15" hidden="false" customHeight="false" outlineLevel="0" collapsed="false">
      <c r="A452" s="26"/>
      <c r="B452" s="19" t="str">
        <f aca="false">IF(A452="","",A452+7-WEEKDAY(A452,1)+1)</f>
        <v/>
      </c>
      <c r="C452" s="28"/>
      <c r="D452" s="29"/>
      <c r="E452" s="28"/>
      <c r="F452" s="28"/>
      <c r="G452" s="30"/>
      <c r="H452" s="23" t="str">
        <f aca="false">IF(E452="","",IFERROR(INDEX(Lists!$C$2:$C$86,MATCH(E452,Lists!$A$2:$A$86,0)),"?"))</f>
        <v/>
      </c>
      <c r="I452" s="24" t="str">
        <f aca="false">IF(OR(C452="",E452=""),"",IF(H452="Yes",IFERROR(INDEX(Employees!$E$4:$E$43,MATCH(C452,Employees!$B$4:$B$43,0)),0),0))</f>
        <v/>
      </c>
      <c r="J452" s="25" t="str">
        <f aca="false">IF(G452="","",IF(H452="Yes",G452*I452,0))</f>
        <v/>
      </c>
      <c r="K452" s="25" t="str">
        <f aca="false">IF(OR(C452="",G452=""),"",G452*IFERROR(INDEX(Employees!$F$4:$F$43,MATCH(C452,Employees!$B$4:$B$43,0)),0))</f>
        <v/>
      </c>
      <c r="L452" s="28"/>
    </row>
    <row r="453" customFormat="false" ht="15" hidden="false" customHeight="false" outlineLevel="0" collapsed="false">
      <c r="A453" s="26"/>
      <c r="B453" s="27" t="str">
        <f aca="false">IF(A453="","",A453+7-WEEKDAY(A453,1)+1)</f>
        <v/>
      </c>
      <c r="C453" s="28"/>
      <c r="D453" s="29"/>
      <c r="E453" s="28"/>
      <c r="F453" s="28"/>
      <c r="G453" s="30"/>
      <c r="H453" s="31" t="str">
        <f aca="false">IF(E453="","",IFERROR(INDEX(Lists!$C$2:$C$86,MATCH(E453,Lists!$A$2:$A$86,0)),"?"))</f>
        <v/>
      </c>
      <c r="I453" s="32" t="str">
        <f aca="false">IF(OR(C453="",E453=""),"",IF(H453="Yes",IFERROR(INDEX(Employees!$E$4:$E$43,MATCH(C453,Employees!$B$4:$B$43,0)),0),0))</f>
        <v/>
      </c>
      <c r="J453" s="33" t="str">
        <f aca="false">IF(G453="","",IF(H453="Yes",G453*I453,0))</f>
        <v/>
      </c>
      <c r="K453" s="33" t="str">
        <f aca="false">IF(OR(C453="",G453=""),"",G453*IFERROR(INDEX(Employees!$F$4:$F$43,MATCH(C453,Employees!$B$4:$B$43,0)),0))</f>
        <v/>
      </c>
      <c r="L453" s="28"/>
    </row>
    <row r="454" customFormat="false" ht="15" hidden="false" customHeight="false" outlineLevel="0" collapsed="false">
      <c r="A454" s="26"/>
      <c r="B454" s="19" t="str">
        <f aca="false">IF(A454="","",A454+7-WEEKDAY(A454,1)+1)</f>
        <v/>
      </c>
      <c r="C454" s="28"/>
      <c r="D454" s="29"/>
      <c r="E454" s="28"/>
      <c r="F454" s="28"/>
      <c r="G454" s="30"/>
      <c r="H454" s="23" t="str">
        <f aca="false">IF(E454="","",IFERROR(INDEX(Lists!$C$2:$C$86,MATCH(E454,Lists!$A$2:$A$86,0)),"?"))</f>
        <v/>
      </c>
      <c r="I454" s="24" t="str">
        <f aca="false">IF(OR(C454="",E454=""),"",IF(H454="Yes",IFERROR(INDEX(Employees!$E$4:$E$43,MATCH(C454,Employees!$B$4:$B$43,0)),0),0))</f>
        <v/>
      </c>
      <c r="J454" s="25" t="str">
        <f aca="false">IF(G454="","",IF(H454="Yes",G454*I454,0))</f>
        <v/>
      </c>
      <c r="K454" s="25" t="str">
        <f aca="false">IF(OR(C454="",G454=""),"",G454*IFERROR(INDEX(Employees!$F$4:$F$43,MATCH(C454,Employees!$B$4:$B$43,0)),0))</f>
        <v/>
      </c>
      <c r="L454" s="28"/>
    </row>
    <row r="455" customFormat="false" ht="15" hidden="false" customHeight="false" outlineLevel="0" collapsed="false">
      <c r="A455" s="26"/>
      <c r="B455" s="27" t="str">
        <f aca="false">IF(A455="","",A455+7-WEEKDAY(A455,1)+1)</f>
        <v/>
      </c>
      <c r="C455" s="28"/>
      <c r="D455" s="29"/>
      <c r="E455" s="28"/>
      <c r="F455" s="28"/>
      <c r="G455" s="30"/>
      <c r="H455" s="31" t="str">
        <f aca="false">IF(E455="","",IFERROR(INDEX(Lists!$C$2:$C$86,MATCH(E455,Lists!$A$2:$A$86,0)),"?"))</f>
        <v/>
      </c>
      <c r="I455" s="32" t="str">
        <f aca="false">IF(OR(C455="",E455=""),"",IF(H455="Yes",IFERROR(INDEX(Employees!$E$4:$E$43,MATCH(C455,Employees!$B$4:$B$43,0)),0),0))</f>
        <v/>
      </c>
      <c r="J455" s="33" t="str">
        <f aca="false">IF(G455="","",IF(H455="Yes",G455*I455,0))</f>
        <v/>
      </c>
      <c r="K455" s="33" t="str">
        <f aca="false">IF(OR(C455="",G455=""),"",G455*IFERROR(INDEX(Employees!$F$4:$F$43,MATCH(C455,Employees!$B$4:$B$43,0)),0))</f>
        <v/>
      </c>
      <c r="L455" s="28"/>
    </row>
    <row r="456" customFormat="false" ht="15" hidden="false" customHeight="false" outlineLevel="0" collapsed="false">
      <c r="A456" s="26"/>
      <c r="B456" s="19" t="str">
        <f aca="false">IF(A456="","",A456+7-WEEKDAY(A456,1)+1)</f>
        <v/>
      </c>
      <c r="C456" s="28"/>
      <c r="D456" s="29"/>
      <c r="E456" s="28"/>
      <c r="F456" s="28"/>
      <c r="G456" s="30"/>
      <c r="H456" s="23" t="str">
        <f aca="false">IF(E456="","",IFERROR(INDEX(Lists!$C$2:$C$86,MATCH(E456,Lists!$A$2:$A$86,0)),"?"))</f>
        <v/>
      </c>
      <c r="I456" s="24" t="str">
        <f aca="false">IF(OR(C456="",E456=""),"",IF(H456="Yes",IFERROR(INDEX(Employees!$E$4:$E$43,MATCH(C456,Employees!$B$4:$B$43,0)),0),0))</f>
        <v/>
      </c>
      <c r="J456" s="25" t="str">
        <f aca="false">IF(G456="","",IF(H456="Yes",G456*I456,0))</f>
        <v/>
      </c>
      <c r="K456" s="25" t="str">
        <f aca="false">IF(OR(C456="",G456=""),"",G456*IFERROR(INDEX(Employees!$F$4:$F$43,MATCH(C456,Employees!$B$4:$B$43,0)),0))</f>
        <v/>
      </c>
      <c r="L456" s="28"/>
    </row>
    <row r="457" customFormat="false" ht="15" hidden="false" customHeight="false" outlineLevel="0" collapsed="false">
      <c r="A457" s="26"/>
      <c r="B457" s="27" t="str">
        <f aca="false">IF(A457="","",A457+7-WEEKDAY(A457,1)+1)</f>
        <v/>
      </c>
      <c r="C457" s="28"/>
      <c r="D457" s="29"/>
      <c r="E457" s="28"/>
      <c r="F457" s="28"/>
      <c r="G457" s="30"/>
      <c r="H457" s="31" t="str">
        <f aca="false">IF(E457="","",IFERROR(INDEX(Lists!$C$2:$C$86,MATCH(E457,Lists!$A$2:$A$86,0)),"?"))</f>
        <v/>
      </c>
      <c r="I457" s="32" t="str">
        <f aca="false">IF(OR(C457="",E457=""),"",IF(H457="Yes",IFERROR(INDEX(Employees!$E$4:$E$43,MATCH(C457,Employees!$B$4:$B$43,0)),0),0))</f>
        <v/>
      </c>
      <c r="J457" s="33" t="str">
        <f aca="false">IF(G457="","",IF(H457="Yes",G457*I457,0))</f>
        <v/>
      </c>
      <c r="K457" s="33" t="str">
        <f aca="false">IF(OR(C457="",G457=""),"",G457*IFERROR(INDEX(Employees!$F$4:$F$43,MATCH(C457,Employees!$B$4:$B$43,0)),0))</f>
        <v/>
      </c>
      <c r="L457" s="28"/>
    </row>
    <row r="458" customFormat="false" ht="15" hidden="false" customHeight="false" outlineLevel="0" collapsed="false">
      <c r="A458" s="26"/>
      <c r="B458" s="19" t="str">
        <f aca="false">IF(A458="","",A458+7-WEEKDAY(A458,1)+1)</f>
        <v/>
      </c>
      <c r="C458" s="28"/>
      <c r="D458" s="29"/>
      <c r="E458" s="28"/>
      <c r="F458" s="28"/>
      <c r="G458" s="30"/>
      <c r="H458" s="23" t="str">
        <f aca="false">IF(E458="","",IFERROR(INDEX(Lists!$C$2:$C$86,MATCH(E458,Lists!$A$2:$A$86,0)),"?"))</f>
        <v/>
      </c>
      <c r="I458" s="24" t="str">
        <f aca="false">IF(OR(C458="",E458=""),"",IF(H458="Yes",IFERROR(INDEX(Employees!$E$4:$E$43,MATCH(C458,Employees!$B$4:$B$43,0)),0),0))</f>
        <v/>
      </c>
      <c r="J458" s="25" t="str">
        <f aca="false">IF(G458="","",IF(H458="Yes",G458*I458,0))</f>
        <v/>
      </c>
      <c r="K458" s="25" t="str">
        <f aca="false">IF(OR(C458="",G458=""),"",G458*IFERROR(INDEX(Employees!$F$4:$F$43,MATCH(C458,Employees!$B$4:$B$43,0)),0))</f>
        <v/>
      </c>
      <c r="L458" s="28"/>
    </row>
    <row r="459" customFormat="false" ht="15" hidden="false" customHeight="false" outlineLevel="0" collapsed="false">
      <c r="A459" s="26"/>
      <c r="B459" s="27" t="str">
        <f aca="false">IF(A459="","",A459+7-WEEKDAY(A459,1)+1)</f>
        <v/>
      </c>
      <c r="C459" s="28"/>
      <c r="D459" s="29"/>
      <c r="E459" s="28"/>
      <c r="F459" s="28"/>
      <c r="G459" s="30"/>
      <c r="H459" s="31" t="str">
        <f aca="false">IF(E459="","",IFERROR(INDEX(Lists!$C$2:$C$86,MATCH(E459,Lists!$A$2:$A$86,0)),"?"))</f>
        <v/>
      </c>
      <c r="I459" s="32" t="str">
        <f aca="false">IF(OR(C459="",E459=""),"",IF(H459="Yes",IFERROR(INDEX(Employees!$E$4:$E$43,MATCH(C459,Employees!$B$4:$B$43,0)),0),0))</f>
        <v/>
      </c>
      <c r="J459" s="33" t="str">
        <f aca="false">IF(G459="","",IF(H459="Yes",G459*I459,0))</f>
        <v/>
      </c>
      <c r="K459" s="33" t="str">
        <f aca="false">IF(OR(C459="",G459=""),"",G459*IFERROR(INDEX(Employees!$F$4:$F$43,MATCH(C459,Employees!$B$4:$B$43,0)),0))</f>
        <v/>
      </c>
      <c r="L459" s="28"/>
    </row>
    <row r="460" customFormat="false" ht="15" hidden="false" customHeight="false" outlineLevel="0" collapsed="false">
      <c r="A460" s="26"/>
      <c r="B460" s="19" t="str">
        <f aca="false">IF(A460="","",A460+7-WEEKDAY(A460,1)+1)</f>
        <v/>
      </c>
      <c r="C460" s="28"/>
      <c r="D460" s="29"/>
      <c r="E460" s="28"/>
      <c r="F460" s="28"/>
      <c r="G460" s="30"/>
      <c r="H460" s="23" t="str">
        <f aca="false">IF(E460="","",IFERROR(INDEX(Lists!$C$2:$C$86,MATCH(E460,Lists!$A$2:$A$86,0)),"?"))</f>
        <v/>
      </c>
      <c r="I460" s="24" t="str">
        <f aca="false">IF(OR(C460="",E460=""),"",IF(H460="Yes",IFERROR(INDEX(Employees!$E$4:$E$43,MATCH(C460,Employees!$B$4:$B$43,0)),0),0))</f>
        <v/>
      </c>
      <c r="J460" s="25" t="str">
        <f aca="false">IF(G460="","",IF(H460="Yes",G460*I460,0))</f>
        <v/>
      </c>
      <c r="K460" s="25" t="str">
        <f aca="false">IF(OR(C460="",G460=""),"",G460*IFERROR(INDEX(Employees!$F$4:$F$43,MATCH(C460,Employees!$B$4:$B$43,0)),0))</f>
        <v/>
      </c>
      <c r="L460" s="28"/>
    </row>
    <row r="461" customFormat="false" ht="15" hidden="false" customHeight="false" outlineLevel="0" collapsed="false">
      <c r="A461" s="26"/>
      <c r="B461" s="27" t="str">
        <f aca="false">IF(A461="","",A461+7-WEEKDAY(A461,1)+1)</f>
        <v/>
      </c>
      <c r="C461" s="28"/>
      <c r="D461" s="29"/>
      <c r="E461" s="28"/>
      <c r="F461" s="28"/>
      <c r="G461" s="30"/>
      <c r="H461" s="31" t="str">
        <f aca="false">IF(E461="","",IFERROR(INDEX(Lists!$C$2:$C$86,MATCH(E461,Lists!$A$2:$A$86,0)),"?"))</f>
        <v/>
      </c>
      <c r="I461" s="32" t="str">
        <f aca="false">IF(OR(C461="",E461=""),"",IF(H461="Yes",IFERROR(INDEX(Employees!$E$4:$E$43,MATCH(C461,Employees!$B$4:$B$43,0)),0),0))</f>
        <v/>
      </c>
      <c r="J461" s="33" t="str">
        <f aca="false">IF(G461="","",IF(H461="Yes",G461*I461,0))</f>
        <v/>
      </c>
      <c r="K461" s="33" t="str">
        <f aca="false">IF(OR(C461="",G461=""),"",G461*IFERROR(INDEX(Employees!$F$4:$F$43,MATCH(C461,Employees!$B$4:$B$43,0)),0))</f>
        <v/>
      </c>
      <c r="L461" s="28"/>
    </row>
    <row r="462" customFormat="false" ht="15" hidden="false" customHeight="false" outlineLevel="0" collapsed="false">
      <c r="A462" s="26"/>
      <c r="B462" s="19" t="str">
        <f aca="false">IF(A462="","",A462+7-WEEKDAY(A462,1)+1)</f>
        <v/>
      </c>
      <c r="C462" s="28"/>
      <c r="D462" s="29"/>
      <c r="E462" s="28"/>
      <c r="F462" s="28"/>
      <c r="G462" s="30"/>
      <c r="H462" s="23" t="str">
        <f aca="false">IF(E462="","",IFERROR(INDEX(Lists!$C$2:$C$86,MATCH(E462,Lists!$A$2:$A$86,0)),"?"))</f>
        <v/>
      </c>
      <c r="I462" s="24" t="str">
        <f aca="false">IF(OR(C462="",E462=""),"",IF(H462="Yes",IFERROR(INDEX(Employees!$E$4:$E$43,MATCH(C462,Employees!$B$4:$B$43,0)),0),0))</f>
        <v/>
      </c>
      <c r="J462" s="25" t="str">
        <f aca="false">IF(G462="","",IF(H462="Yes",G462*I462,0))</f>
        <v/>
      </c>
      <c r="K462" s="25" t="str">
        <f aca="false">IF(OR(C462="",G462=""),"",G462*IFERROR(INDEX(Employees!$F$4:$F$43,MATCH(C462,Employees!$B$4:$B$43,0)),0))</f>
        <v/>
      </c>
      <c r="L462" s="28"/>
    </row>
    <row r="463" customFormat="false" ht="15" hidden="false" customHeight="false" outlineLevel="0" collapsed="false">
      <c r="A463" s="26"/>
      <c r="B463" s="27" t="str">
        <f aca="false">IF(A463="","",A463+7-WEEKDAY(A463,1)+1)</f>
        <v/>
      </c>
      <c r="C463" s="28"/>
      <c r="D463" s="29"/>
      <c r="E463" s="28"/>
      <c r="F463" s="28"/>
      <c r="G463" s="30"/>
      <c r="H463" s="31" t="str">
        <f aca="false">IF(E463="","",IFERROR(INDEX(Lists!$C$2:$C$86,MATCH(E463,Lists!$A$2:$A$86,0)),"?"))</f>
        <v/>
      </c>
      <c r="I463" s="32" t="str">
        <f aca="false">IF(OR(C463="",E463=""),"",IF(H463="Yes",IFERROR(INDEX(Employees!$E$4:$E$43,MATCH(C463,Employees!$B$4:$B$43,0)),0),0))</f>
        <v/>
      </c>
      <c r="J463" s="33" t="str">
        <f aca="false">IF(G463="","",IF(H463="Yes",G463*I463,0))</f>
        <v/>
      </c>
      <c r="K463" s="33" t="str">
        <f aca="false">IF(OR(C463="",G463=""),"",G463*IFERROR(INDEX(Employees!$F$4:$F$43,MATCH(C463,Employees!$B$4:$B$43,0)),0))</f>
        <v/>
      </c>
      <c r="L463" s="28"/>
    </row>
    <row r="464" customFormat="false" ht="15" hidden="false" customHeight="false" outlineLevel="0" collapsed="false">
      <c r="A464" s="26"/>
      <c r="B464" s="19" t="str">
        <f aca="false">IF(A464="","",A464+7-WEEKDAY(A464,1)+1)</f>
        <v/>
      </c>
      <c r="C464" s="28"/>
      <c r="D464" s="29"/>
      <c r="E464" s="28"/>
      <c r="F464" s="28"/>
      <c r="G464" s="30"/>
      <c r="H464" s="23" t="str">
        <f aca="false">IF(E464="","",IFERROR(INDEX(Lists!$C$2:$C$86,MATCH(E464,Lists!$A$2:$A$86,0)),"?"))</f>
        <v/>
      </c>
      <c r="I464" s="24" t="str">
        <f aca="false">IF(OR(C464="",E464=""),"",IF(H464="Yes",IFERROR(INDEX(Employees!$E$4:$E$43,MATCH(C464,Employees!$B$4:$B$43,0)),0),0))</f>
        <v/>
      </c>
      <c r="J464" s="25" t="str">
        <f aca="false">IF(G464="","",IF(H464="Yes",G464*I464,0))</f>
        <v/>
      </c>
      <c r="K464" s="25" t="str">
        <f aca="false">IF(OR(C464="",G464=""),"",G464*IFERROR(INDEX(Employees!$F$4:$F$43,MATCH(C464,Employees!$B$4:$B$43,0)),0))</f>
        <v/>
      </c>
      <c r="L464" s="28"/>
    </row>
    <row r="465" customFormat="false" ht="15" hidden="false" customHeight="false" outlineLevel="0" collapsed="false">
      <c r="A465" s="26"/>
      <c r="B465" s="27" t="str">
        <f aca="false">IF(A465="","",A465+7-WEEKDAY(A465,1)+1)</f>
        <v/>
      </c>
      <c r="C465" s="28"/>
      <c r="D465" s="29"/>
      <c r="E465" s="28"/>
      <c r="F465" s="28"/>
      <c r="G465" s="30"/>
      <c r="H465" s="31" t="str">
        <f aca="false">IF(E465="","",IFERROR(INDEX(Lists!$C$2:$C$86,MATCH(E465,Lists!$A$2:$A$86,0)),"?"))</f>
        <v/>
      </c>
      <c r="I465" s="32" t="str">
        <f aca="false">IF(OR(C465="",E465=""),"",IF(H465="Yes",IFERROR(INDEX(Employees!$E$4:$E$43,MATCH(C465,Employees!$B$4:$B$43,0)),0),0))</f>
        <v/>
      </c>
      <c r="J465" s="33" t="str">
        <f aca="false">IF(G465="","",IF(H465="Yes",G465*I465,0))</f>
        <v/>
      </c>
      <c r="K465" s="33" t="str">
        <f aca="false">IF(OR(C465="",G465=""),"",G465*IFERROR(INDEX(Employees!$F$4:$F$43,MATCH(C465,Employees!$B$4:$B$43,0)),0))</f>
        <v/>
      </c>
      <c r="L465" s="28"/>
    </row>
    <row r="466" customFormat="false" ht="15" hidden="false" customHeight="false" outlineLevel="0" collapsed="false">
      <c r="A466" s="26"/>
      <c r="B466" s="19" t="str">
        <f aca="false">IF(A466="","",A466+7-WEEKDAY(A466,1)+1)</f>
        <v/>
      </c>
      <c r="C466" s="28"/>
      <c r="D466" s="29"/>
      <c r="E466" s="28"/>
      <c r="F466" s="28"/>
      <c r="G466" s="30"/>
      <c r="H466" s="23" t="str">
        <f aca="false">IF(E466="","",IFERROR(INDEX(Lists!$C$2:$C$86,MATCH(E466,Lists!$A$2:$A$86,0)),"?"))</f>
        <v/>
      </c>
      <c r="I466" s="24" t="str">
        <f aca="false">IF(OR(C466="",E466=""),"",IF(H466="Yes",IFERROR(INDEX(Employees!$E$4:$E$43,MATCH(C466,Employees!$B$4:$B$43,0)),0),0))</f>
        <v/>
      </c>
      <c r="J466" s="25" t="str">
        <f aca="false">IF(G466="","",IF(H466="Yes",G466*I466,0))</f>
        <v/>
      </c>
      <c r="K466" s="25" t="str">
        <f aca="false">IF(OR(C466="",G466=""),"",G466*IFERROR(INDEX(Employees!$F$4:$F$43,MATCH(C466,Employees!$B$4:$B$43,0)),0))</f>
        <v/>
      </c>
      <c r="L466" s="28"/>
    </row>
    <row r="467" customFormat="false" ht="15" hidden="false" customHeight="false" outlineLevel="0" collapsed="false">
      <c r="A467" s="26"/>
      <c r="B467" s="27" t="str">
        <f aca="false">IF(A467="","",A467+7-WEEKDAY(A467,1)+1)</f>
        <v/>
      </c>
      <c r="C467" s="28"/>
      <c r="D467" s="29"/>
      <c r="E467" s="28"/>
      <c r="F467" s="28"/>
      <c r="G467" s="30"/>
      <c r="H467" s="31" t="str">
        <f aca="false">IF(E467="","",IFERROR(INDEX(Lists!$C$2:$C$86,MATCH(E467,Lists!$A$2:$A$86,0)),"?"))</f>
        <v/>
      </c>
      <c r="I467" s="32" t="str">
        <f aca="false">IF(OR(C467="",E467=""),"",IF(H467="Yes",IFERROR(INDEX(Employees!$E$4:$E$43,MATCH(C467,Employees!$B$4:$B$43,0)),0),0))</f>
        <v/>
      </c>
      <c r="J467" s="33" t="str">
        <f aca="false">IF(G467="","",IF(H467="Yes",G467*I467,0))</f>
        <v/>
      </c>
      <c r="K467" s="33" t="str">
        <f aca="false">IF(OR(C467="",G467=""),"",G467*IFERROR(INDEX(Employees!$F$4:$F$43,MATCH(C467,Employees!$B$4:$B$43,0)),0))</f>
        <v/>
      </c>
      <c r="L467" s="28"/>
    </row>
    <row r="468" customFormat="false" ht="15" hidden="false" customHeight="false" outlineLevel="0" collapsed="false">
      <c r="A468" s="26"/>
      <c r="B468" s="19" t="str">
        <f aca="false">IF(A468="","",A468+7-WEEKDAY(A468,1)+1)</f>
        <v/>
      </c>
      <c r="C468" s="28"/>
      <c r="D468" s="29"/>
      <c r="E468" s="28"/>
      <c r="F468" s="28"/>
      <c r="G468" s="30"/>
      <c r="H468" s="23" t="str">
        <f aca="false">IF(E468="","",IFERROR(INDEX(Lists!$C$2:$C$86,MATCH(E468,Lists!$A$2:$A$86,0)),"?"))</f>
        <v/>
      </c>
      <c r="I468" s="24" t="str">
        <f aca="false">IF(OR(C468="",E468=""),"",IF(H468="Yes",IFERROR(INDEX(Employees!$E$4:$E$43,MATCH(C468,Employees!$B$4:$B$43,0)),0),0))</f>
        <v/>
      </c>
      <c r="J468" s="25" t="str">
        <f aca="false">IF(G468="","",IF(H468="Yes",G468*I468,0))</f>
        <v/>
      </c>
      <c r="K468" s="25" t="str">
        <f aca="false">IF(OR(C468="",G468=""),"",G468*IFERROR(INDEX(Employees!$F$4:$F$43,MATCH(C468,Employees!$B$4:$B$43,0)),0))</f>
        <v/>
      </c>
      <c r="L468" s="28"/>
    </row>
    <row r="469" customFormat="false" ht="15" hidden="false" customHeight="false" outlineLevel="0" collapsed="false">
      <c r="A469" s="26"/>
      <c r="B469" s="27" t="str">
        <f aca="false">IF(A469="","",A469+7-WEEKDAY(A469,1)+1)</f>
        <v/>
      </c>
      <c r="C469" s="28"/>
      <c r="D469" s="29"/>
      <c r="E469" s="28"/>
      <c r="F469" s="28"/>
      <c r="G469" s="30"/>
      <c r="H469" s="31" t="str">
        <f aca="false">IF(E469="","",IFERROR(INDEX(Lists!$C$2:$C$86,MATCH(E469,Lists!$A$2:$A$86,0)),"?"))</f>
        <v/>
      </c>
      <c r="I469" s="32" t="str">
        <f aca="false">IF(OR(C469="",E469=""),"",IF(H469="Yes",IFERROR(INDEX(Employees!$E$4:$E$43,MATCH(C469,Employees!$B$4:$B$43,0)),0),0))</f>
        <v/>
      </c>
      <c r="J469" s="33" t="str">
        <f aca="false">IF(G469="","",IF(H469="Yes",G469*I469,0))</f>
        <v/>
      </c>
      <c r="K469" s="33" t="str">
        <f aca="false">IF(OR(C469="",G469=""),"",G469*IFERROR(INDEX(Employees!$F$4:$F$43,MATCH(C469,Employees!$B$4:$B$43,0)),0))</f>
        <v/>
      </c>
      <c r="L469" s="28"/>
    </row>
    <row r="470" customFormat="false" ht="15" hidden="false" customHeight="false" outlineLevel="0" collapsed="false">
      <c r="A470" s="26"/>
      <c r="B470" s="19" t="str">
        <f aca="false">IF(A470="","",A470+7-WEEKDAY(A470,1)+1)</f>
        <v/>
      </c>
      <c r="C470" s="28"/>
      <c r="D470" s="29"/>
      <c r="E470" s="28"/>
      <c r="F470" s="28"/>
      <c r="G470" s="30"/>
      <c r="H470" s="23" t="str">
        <f aca="false">IF(E470="","",IFERROR(INDEX(Lists!$C$2:$C$86,MATCH(E470,Lists!$A$2:$A$86,0)),"?"))</f>
        <v/>
      </c>
      <c r="I470" s="24" t="str">
        <f aca="false">IF(OR(C470="",E470=""),"",IF(H470="Yes",IFERROR(INDEX(Employees!$E$4:$E$43,MATCH(C470,Employees!$B$4:$B$43,0)),0),0))</f>
        <v/>
      </c>
      <c r="J470" s="25" t="str">
        <f aca="false">IF(G470="","",IF(H470="Yes",G470*I470,0))</f>
        <v/>
      </c>
      <c r="K470" s="25" t="str">
        <f aca="false">IF(OR(C470="",G470=""),"",G470*IFERROR(INDEX(Employees!$F$4:$F$43,MATCH(C470,Employees!$B$4:$B$43,0)),0))</f>
        <v/>
      </c>
      <c r="L470" s="28"/>
    </row>
    <row r="471" customFormat="false" ht="15" hidden="false" customHeight="false" outlineLevel="0" collapsed="false">
      <c r="A471" s="26"/>
      <c r="B471" s="27" t="str">
        <f aca="false">IF(A471="","",A471+7-WEEKDAY(A471,1)+1)</f>
        <v/>
      </c>
      <c r="C471" s="28"/>
      <c r="D471" s="29"/>
      <c r="E471" s="28"/>
      <c r="F471" s="28"/>
      <c r="G471" s="30"/>
      <c r="H471" s="31" t="str">
        <f aca="false">IF(E471="","",IFERROR(INDEX(Lists!$C$2:$C$86,MATCH(E471,Lists!$A$2:$A$86,0)),"?"))</f>
        <v/>
      </c>
      <c r="I471" s="32" t="str">
        <f aca="false">IF(OR(C471="",E471=""),"",IF(H471="Yes",IFERROR(INDEX(Employees!$E$4:$E$43,MATCH(C471,Employees!$B$4:$B$43,0)),0),0))</f>
        <v/>
      </c>
      <c r="J471" s="33" t="str">
        <f aca="false">IF(G471="","",IF(H471="Yes",G471*I471,0))</f>
        <v/>
      </c>
      <c r="K471" s="33" t="str">
        <f aca="false">IF(OR(C471="",G471=""),"",G471*IFERROR(INDEX(Employees!$F$4:$F$43,MATCH(C471,Employees!$B$4:$B$43,0)),0))</f>
        <v/>
      </c>
      <c r="L471" s="28"/>
    </row>
    <row r="472" customFormat="false" ht="15" hidden="false" customHeight="false" outlineLevel="0" collapsed="false">
      <c r="A472" s="26"/>
      <c r="B472" s="19" t="str">
        <f aca="false">IF(A472="","",A472+7-WEEKDAY(A472,1)+1)</f>
        <v/>
      </c>
      <c r="C472" s="28"/>
      <c r="D472" s="29"/>
      <c r="E472" s="28"/>
      <c r="F472" s="28"/>
      <c r="G472" s="30"/>
      <c r="H472" s="23" t="str">
        <f aca="false">IF(E472="","",IFERROR(INDEX(Lists!$C$2:$C$86,MATCH(E472,Lists!$A$2:$A$86,0)),"?"))</f>
        <v/>
      </c>
      <c r="I472" s="24" t="str">
        <f aca="false">IF(OR(C472="",E472=""),"",IF(H472="Yes",IFERROR(INDEX(Employees!$E$4:$E$43,MATCH(C472,Employees!$B$4:$B$43,0)),0),0))</f>
        <v/>
      </c>
      <c r="J472" s="25" t="str">
        <f aca="false">IF(G472="","",IF(H472="Yes",G472*I472,0))</f>
        <v/>
      </c>
      <c r="K472" s="25" t="str">
        <f aca="false">IF(OR(C472="",G472=""),"",G472*IFERROR(INDEX(Employees!$F$4:$F$43,MATCH(C472,Employees!$B$4:$B$43,0)),0))</f>
        <v/>
      </c>
      <c r="L472" s="28"/>
    </row>
    <row r="473" customFormat="false" ht="15" hidden="false" customHeight="false" outlineLevel="0" collapsed="false">
      <c r="A473" s="26"/>
      <c r="B473" s="27" t="str">
        <f aca="false">IF(A473="","",A473+7-WEEKDAY(A473,1)+1)</f>
        <v/>
      </c>
      <c r="C473" s="28"/>
      <c r="D473" s="29"/>
      <c r="E473" s="28"/>
      <c r="F473" s="28"/>
      <c r="G473" s="30"/>
      <c r="H473" s="31" t="str">
        <f aca="false">IF(E473="","",IFERROR(INDEX(Lists!$C$2:$C$86,MATCH(E473,Lists!$A$2:$A$86,0)),"?"))</f>
        <v/>
      </c>
      <c r="I473" s="32" t="str">
        <f aca="false">IF(OR(C473="",E473=""),"",IF(H473="Yes",IFERROR(INDEX(Employees!$E$4:$E$43,MATCH(C473,Employees!$B$4:$B$43,0)),0),0))</f>
        <v/>
      </c>
      <c r="J473" s="33" t="str">
        <f aca="false">IF(G473="","",IF(H473="Yes",G473*I473,0))</f>
        <v/>
      </c>
      <c r="K473" s="33" t="str">
        <f aca="false">IF(OR(C473="",G473=""),"",G473*IFERROR(INDEX(Employees!$F$4:$F$43,MATCH(C473,Employees!$B$4:$B$43,0)),0))</f>
        <v/>
      </c>
      <c r="L473" s="28"/>
    </row>
    <row r="474" customFormat="false" ht="15" hidden="false" customHeight="false" outlineLevel="0" collapsed="false">
      <c r="A474" s="26"/>
      <c r="B474" s="19" t="str">
        <f aca="false">IF(A474="","",A474+7-WEEKDAY(A474,1)+1)</f>
        <v/>
      </c>
      <c r="C474" s="28"/>
      <c r="D474" s="29"/>
      <c r="E474" s="28"/>
      <c r="F474" s="28"/>
      <c r="G474" s="30"/>
      <c r="H474" s="23" t="str">
        <f aca="false">IF(E474="","",IFERROR(INDEX(Lists!$C$2:$C$86,MATCH(E474,Lists!$A$2:$A$86,0)),"?"))</f>
        <v/>
      </c>
      <c r="I474" s="24" t="str">
        <f aca="false">IF(OR(C474="",E474=""),"",IF(H474="Yes",IFERROR(INDEX(Employees!$E$4:$E$43,MATCH(C474,Employees!$B$4:$B$43,0)),0),0))</f>
        <v/>
      </c>
      <c r="J474" s="25" t="str">
        <f aca="false">IF(G474="","",IF(H474="Yes",G474*I474,0))</f>
        <v/>
      </c>
      <c r="K474" s="25" t="str">
        <f aca="false">IF(OR(C474="",G474=""),"",G474*IFERROR(INDEX(Employees!$F$4:$F$43,MATCH(C474,Employees!$B$4:$B$43,0)),0))</f>
        <v/>
      </c>
      <c r="L474" s="28"/>
    </row>
    <row r="475" customFormat="false" ht="15" hidden="false" customHeight="false" outlineLevel="0" collapsed="false">
      <c r="A475" s="26"/>
      <c r="B475" s="27" t="str">
        <f aca="false">IF(A475="","",A475+7-WEEKDAY(A475,1)+1)</f>
        <v/>
      </c>
      <c r="C475" s="28"/>
      <c r="D475" s="29"/>
      <c r="E475" s="28"/>
      <c r="F475" s="28"/>
      <c r="G475" s="30"/>
      <c r="H475" s="31" t="str">
        <f aca="false">IF(E475="","",IFERROR(INDEX(Lists!$C$2:$C$86,MATCH(E475,Lists!$A$2:$A$86,0)),"?"))</f>
        <v/>
      </c>
      <c r="I475" s="32" t="str">
        <f aca="false">IF(OR(C475="",E475=""),"",IF(H475="Yes",IFERROR(INDEX(Employees!$E$4:$E$43,MATCH(C475,Employees!$B$4:$B$43,0)),0),0))</f>
        <v/>
      </c>
      <c r="J475" s="33" t="str">
        <f aca="false">IF(G475="","",IF(H475="Yes",G475*I475,0))</f>
        <v/>
      </c>
      <c r="K475" s="33" t="str">
        <f aca="false">IF(OR(C475="",G475=""),"",G475*IFERROR(INDEX(Employees!$F$4:$F$43,MATCH(C475,Employees!$B$4:$B$43,0)),0))</f>
        <v/>
      </c>
      <c r="L475" s="28"/>
    </row>
    <row r="476" customFormat="false" ht="15" hidden="false" customHeight="false" outlineLevel="0" collapsed="false">
      <c r="A476" s="26"/>
      <c r="B476" s="19" t="str">
        <f aca="false">IF(A476="","",A476+7-WEEKDAY(A476,1)+1)</f>
        <v/>
      </c>
      <c r="C476" s="28"/>
      <c r="D476" s="29"/>
      <c r="E476" s="28"/>
      <c r="F476" s="28"/>
      <c r="G476" s="30"/>
      <c r="H476" s="23" t="str">
        <f aca="false">IF(E476="","",IFERROR(INDEX(Lists!$C$2:$C$86,MATCH(E476,Lists!$A$2:$A$86,0)),"?"))</f>
        <v/>
      </c>
      <c r="I476" s="24" t="str">
        <f aca="false">IF(OR(C476="",E476=""),"",IF(H476="Yes",IFERROR(INDEX(Employees!$E$4:$E$43,MATCH(C476,Employees!$B$4:$B$43,0)),0),0))</f>
        <v/>
      </c>
      <c r="J476" s="25" t="str">
        <f aca="false">IF(G476="","",IF(H476="Yes",G476*I476,0))</f>
        <v/>
      </c>
      <c r="K476" s="25" t="str">
        <f aca="false">IF(OR(C476="",G476=""),"",G476*IFERROR(INDEX(Employees!$F$4:$F$43,MATCH(C476,Employees!$B$4:$B$43,0)),0))</f>
        <v/>
      </c>
      <c r="L476" s="28"/>
    </row>
    <row r="477" customFormat="false" ht="15" hidden="false" customHeight="false" outlineLevel="0" collapsed="false">
      <c r="A477" s="26"/>
      <c r="B477" s="27" t="str">
        <f aca="false">IF(A477="","",A477+7-WEEKDAY(A477,1)+1)</f>
        <v/>
      </c>
      <c r="C477" s="28"/>
      <c r="D477" s="29"/>
      <c r="E477" s="28"/>
      <c r="F477" s="28"/>
      <c r="G477" s="30"/>
      <c r="H477" s="31" t="str">
        <f aca="false">IF(E477="","",IFERROR(INDEX(Lists!$C$2:$C$86,MATCH(E477,Lists!$A$2:$A$86,0)),"?"))</f>
        <v/>
      </c>
      <c r="I477" s="32" t="str">
        <f aca="false">IF(OR(C477="",E477=""),"",IF(H477="Yes",IFERROR(INDEX(Employees!$E$4:$E$43,MATCH(C477,Employees!$B$4:$B$43,0)),0),0))</f>
        <v/>
      </c>
      <c r="J477" s="33" t="str">
        <f aca="false">IF(G477="","",IF(H477="Yes",G477*I477,0))</f>
        <v/>
      </c>
      <c r="K477" s="33" t="str">
        <f aca="false">IF(OR(C477="",G477=""),"",G477*IFERROR(INDEX(Employees!$F$4:$F$43,MATCH(C477,Employees!$B$4:$B$43,0)),0))</f>
        <v/>
      </c>
      <c r="L477" s="28"/>
    </row>
    <row r="478" customFormat="false" ht="15" hidden="false" customHeight="false" outlineLevel="0" collapsed="false">
      <c r="A478" s="26"/>
      <c r="B478" s="19" t="str">
        <f aca="false">IF(A478="","",A478+7-WEEKDAY(A478,1)+1)</f>
        <v/>
      </c>
      <c r="C478" s="28"/>
      <c r="D478" s="29"/>
      <c r="E478" s="28"/>
      <c r="F478" s="28"/>
      <c r="G478" s="30"/>
      <c r="H478" s="23" t="str">
        <f aca="false">IF(E478="","",IFERROR(INDEX(Lists!$C$2:$C$86,MATCH(E478,Lists!$A$2:$A$86,0)),"?"))</f>
        <v/>
      </c>
      <c r="I478" s="24" t="str">
        <f aca="false">IF(OR(C478="",E478=""),"",IF(H478="Yes",IFERROR(INDEX(Employees!$E$4:$E$43,MATCH(C478,Employees!$B$4:$B$43,0)),0),0))</f>
        <v/>
      </c>
      <c r="J478" s="25" t="str">
        <f aca="false">IF(G478="","",IF(H478="Yes",G478*I478,0))</f>
        <v/>
      </c>
      <c r="K478" s="25" t="str">
        <f aca="false">IF(OR(C478="",G478=""),"",G478*IFERROR(INDEX(Employees!$F$4:$F$43,MATCH(C478,Employees!$B$4:$B$43,0)),0))</f>
        <v/>
      </c>
      <c r="L478" s="28"/>
    </row>
    <row r="479" customFormat="false" ht="15" hidden="false" customHeight="false" outlineLevel="0" collapsed="false">
      <c r="A479" s="26"/>
      <c r="B479" s="27" t="str">
        <f aca="false">IF(A479="","",A479+7-WEEKDAY(A479,1)+1)</f>
        <v/>
      </c>
      <c r="C479" s="28"/>
      <c r="D479" s="29"/>
      <c r="E479" s="28"/>
      <c r="F479" s="28"/>
      <c r="G479" s="30"/>
      <c r="H479" s="31" t="str">
        <f aca="false">IF(E479="","",IFERROR(INDEX(Lists!$C$2:$C$86,MATCH(E479,Lists!$A$2:$A$86,0)),"?"))</f>
        <v/>
      </c>
      <c r="I479" s="32" t="str">
        <f aca="false">IF(OR(C479="",E479=""),"",IF(H479="Yes",IFERROR(INDEX(Employees!$E$4:$E$43,MATCH(C479,Employees!$B$4:$B$43,0)),0),0))</f>
        <v/>
      </c>
      <c r="J479" s="33" t="str">
        <f aca="false">IF(G479="","",IF(H479="Yes",G479*I479,0))</f>
        <v/>
      </c>
      <c r="K479" s="33" t="str">
        <f aca="false">IF(OR(C479="",G479=""),"",G479*IFERROR(INDEX(Employees!$F$4:$F$43,MATCH(C479,Employees!$B$4:$B$43,0)),0))</f>
        <v/>
      </c>
      <c r="L479" s="28"/>
    </row>
    <row r="480" customFormat="false" ht="15" hidden="false" customHeight="false" outlineLevel="0" collapsed="false">
      <c r="A480" s="26"/>
      <c r="B480" s="19" t="str">
        <f aca="false">IF(A480="","",A480+7-WEEKDAY(A480,1)+1)</f>
        <v/>
      </c>
      <c r="C480" s="28"/>
      <c r="D480" s="29"/>
      <c r="E480" s="28"/>
      <c r="F480" s="28"/>
      <c r="G480" s="30"/>
      <c r="H480" s="23" t="str">
        <f aca="false">IF(E480="","",IFERROR(INDEX(Lists!$C$2:$C$86,MATCH(E480,Lists!$A$2:$A$86,0)),"?"))</f>
        <v/>
      </c>
      <c r="I480" s="24" t="str">
        <f aca="false">IF(OR(C480="",E480=""),"",IF(H480="Yes",IFERROR(INDEX(Employees!$E$4:$E$43,MATCH(C480,Employees!$B$4:$B$43,0)),0),0))</f>
        <v/>
      </c>
      <c r="J480" s="25" t="str">
        <f aca="false">IF(G480="","",IF(H480="Yes",G480*I480,0))</f>
        <v/>
      </c>
      <c r="K480" s="25" t="str">
        <f aca="false">IF(OR(C480="",G480=""),"",G480*IFERROR(INDEX(Employees!$F$4:$F$43,MATCH(C480,Employees!$B$4:$B$43,0)),0))</f>
        <v/>
      </c>
      <c r="L480" s="28"/>
    </row>
    <row r="481" customFormat="false" ht="15" hidden="false" customHeight="false" outlineLevel="0" collapsed="false">
      <c r="A481" s="26"/>
      <c r="B481" s="27" t="str">
        <f aca="false">IF(A481="","",A481+7-WEEKDAY(A481,1)+1)</f>
        <v/>
      </c>
      <c r="C481" s="28"/>
      <c r="D481" s="29"/>
      <c r="E481" s="28"/>
      <c r="F481" s="28"/>
      <c r="G481" s="30"/>
      <c r="H481" s="31" t="str">
        <f aca="false">IF(E481="","",IFERROR(INDEX(Lists!$C$2:$C$86,MATCH(E481,Lists!$A$2:$A$86,0)),"?"))</f>
        <v/>
      </c>
      <c r="I481" s="32" t="str">
        <f aca="false">IF(OR(C481="",E481=""),"",IF(H481="Yes",IFERROR(INDEX(Employees!$E$4:$E$43,MATCH(C481,Employees!$B$4:$B$43,0)),0),0))</f>
        <v/>
      </c>
      <c r="J481" s="33" t="str">
        <f aca="false">IF(G481="","",IF(H481="Yes",G481*I481,0))</f>
        <v/>
      </c>
      <c r="K481" s="33" t="str">
        <f aca="false">IF(OR(C481="",G481=""),"",G481*IFERROR(INDEX(Employees!$F$4:$F$43,MATCH(C481,Employees!$B$4:$B$43,0)),0))</f>
        <v/>
      </c>
      <c r="L481" s="28"/>
    </row>
    <row r="482" customFormat="false" ht="15" hidden="false" customHeight="false" outlineLevel="0" collapsed="false">
      <c r="A482" s="26"/>
      <c r="B482" s="19" t="str">
        <f aca="false">IF(A482="","",A482+7-WEEKDAY(A482,1)+1)</f>
        <v/>
      </c>
      <c r="C482" s="28"/>
      <c r="D482" s="29"/>
      <c r="E482" s="28"/>
      <c r="F482" s="28"/>
      <c r="G482" s="30"/>
      <c r="H482" s="23" t="str">
        <f aca="false">IF(E482="","",IFERROR(INDEX(Lists!$C$2:$C$86,MATCH(E482,Lists!$A$2:$A$86,0)),"?"))</f>
        <v/>
      </c>
      <c r="I482" s="24" t="str">
        <f aca="false">IF(OR(C482="",E482=""),"",IF(H482="Yes",IFERROR(INDEX(Employees!$E$4:$E$43,MATCH(C482,Employees!$B$4:$B$43,0)),0),0))</f>
        <v/>
      </c>
      <c r="J482" s="25" t="str">
        <f aca="false">IF(G482="","",IF(H482="Yes",G482*I482,0))</f>
        <v/>
      </c>
      <c r="K482" s="25" t="str">
        <f aca="false">IF(OR(C482="",G482=""),"",G482*IFERROR(INDEX(Employees!$F$4:$F$43,MATCH(C482,Employees!$B$4:$B$43,0)),0))</f>
        <v/>
      </c>
      <c r="L482" s="28"/>
    </row>
    <row r="483" customFormat="false" ht="15" hidden="false" customHeight="false" outlineLevel="0" collapsed="false">
      <c r="A483" s="26"/>
      <c r="B483" s="27" t="str">
        <f aca="false">IF(A483="","",A483+7-WEEKDAY(A483,1)+1)</f>
        <v/>
      </c>
      <c r="C483" s="28"/>
      <c r="D483" s="29"/>
      <c r="E483" s="28"/>
      <c r="F483" s="28"/>
      <c r="G483" s="30"/>
      <c r="H483" s="31" t="str">
        <f aca="false">IF(E483="","",IFERROR(INDEX(Lists!$C$2:$C$86,MATCH(E483,Lists!$A$2:$A$86,0)),"?"))</f>
        <v/>
      </c>
      <c r="I483" s="32" t="str">
        <f aca="false">IF(OR(C483="",E483=""),"",IF(H483="Yes",IFERROR(INDEX(Employees!$E$4:$E$43,MATCH(C483,Employees!$B$4:$B$43,0)),0),0))</f>
        <v/>
      </c>
      <c r="J483" s="33" t="str">
        <f aca="false">IF(G483="","",IF(H483="Yes",G483*I483,0))</f>
        <v/>
      </c>
      <c r="K483" s="33" t="str">
        <f aca="false">IF(OR(C483="",G483=""),"",G483*IFERROR(INDEX(Employees!$F$4:$F$43,MATCH(C483,Employees!$B$4:$B$43,0)),0))</f>
        <v/>
      </c>
      <c r="L483" s="28"/>
    </row>
    <row r="484" customFormat="false" ht="15" hidden="false" customHeight="false" outlineLevel="0" collapsed="false">
      <c r="A484" s="26"/>
      <c r="B484" s="19" t="str">
        <f aca="false">IF(A484="","",A484+7-WEEKDAY(A484,1)+1)</f>
        <v/>
      </c>
      <c r="C484" s="28"/>
      <c r="D484" s="29"/>
      <c r="E484" s="28"/>
      <c r="F484" s="28"/>
      <c r="G484" s="30"/>
      <c r="H484" s="23" t="str">
        <f aca="false">IF(E484="","",IFERROR(INDEX(Lists!$C$2:$C$86,MATCH(E484,Lists!$A$2:$A$86,0)),"?"))</f>
        <v/>
      </c>
      <c r="I484" s="24" t="str">
        <f aca="false">IF(OR(C484="",E484=""),"",IF(H484="Yes",IFERROR(INDEX(Employees!$E$4:$E$43,MATCH(C484,Employees!$B$4:$B$43,0)),0),0))</f>
        <v/>
      </c>
      <c r="J484" s="25" t="str">
        <f aca="false">IF(G484="","",IF(H484="Yes",G484*I484,0))</f>
        <v/>
      </c>
      <c r="K484" s="25" t="str">
        <f aca="false">IF(OR(C484="",G484=""),"",G484*IFERROR(INDEX(Employees!$F$4:$F$43,MATCH(C484,Employees!$B$4:$B$43,0)),0))</f>
        <v/>
      </c>
      <c r="L484" s="28"/>
    </row>
    <row r="485" customFormat="false" ht="15" hidden="false" customHeight="false" outlineLevel="0" collapsed="false">
      <c r="A485" s="26"/>
      <c r="B485" s="27" t="str">
        <f aca="false">IF(A485="","",A485+7-WEEKDAY(A485,1)+1)</f>
        <v/>
      </c>
      <c r="C485" s="28"/>
      <c r="D485" s="29"/>
      <c r="E485" s="28"/>
      <c r="F485" s="28"/>
      <c r="G485" s="30"/>
      <c r="H485" s="31" t="str">
        <f aca="false">IF(E485="","",IFERROR(INDEX(Lists!$C$2:$C$86,MATCH(E485,Lists!$A$2:$A$86,0)),"?"))</f>
        <v/>
      </c>
      <c r="I485" s="32" t="str">
        <f aca="false">IF(OR(C485="",E485=""),"",IF(H485="Yes",IFERROR(INDEX(Employees!$E$4:$E$43,MATCH(C485,Employees!$B$4:$B$43,0)),0),0))</f>
        <v/>
      </c>
      <c r="J485" s="33" t="str">
        <f aca="false">IF(G485="","",IF(H485="Yes",G485*I485,0))</f>
        <v/>
      </c>
      <c r="K485" s="33" t="str">
        <f aca="false">IF(OR(C485="",G485=""),"",G485*IFERROR(INDEX(Employees!$F$4:$F$43,MATCH(C485,Employees!$B$4:$B$43,0)),0))</f>
        <v/>
      </c>
      <c r="L485" s="28"/>
    </row>
    <row r="486" customFormat="false" ht="15" hidden="false" customHeight="false" outlineLevel="0" collapsed="false">
      <c r="A486" s="26"/>
      <c r="B486" s="19" t="str">
        <f aca="false">IF(A486="","",A486+7-WEEKDAY(A486,1)+1)</f>
        <v/>
      </c>
      <c r="C486" s="28"/>
      <c r="D486" s="29"/>
      <c r="E486" s="28"/>
      <c r="F486" s="28"/>
      <c r="G486" s="30"/>
      <c r="H486" s="23" t="str">
        <f aca="false">IF(E486="","",IFERROR(INDEX(Lists!$C$2:$C$86,MATCH(E486,Lists!$A$2:$A$86,0)),"?"))</f>
        <v/>
      </c>
      <c r="I486" s="24" t="str">
        <f aca="false">IF(OR(C486="",E486=""),"",IF(H486="Yes",IFERROR(INDEX(Employees!$E$4:$E$43,MATCH(C486,Employees!$B$4:$B$43,0)),0),0))</f>
        <v/>
      </c>
      <c r="J486" s="25" t="str">
        <f aca="false">IF(G486="","",IF(H486="Yes",G486*I486,0))</f>
        <v/>
      </c>
      <c r="K486" s="25" t="str">
        <f aca="false">IF(OR(C486="",G486=""),"",G486*IFERROR(INDEX(Employees!$F$4:$F$43,MATCH(C486,Employees!$B$4:$B$43,0)),0))</f>
        <v/>
      </c>
      <c r="L486" s="28"/>
    </row>
    <row r="487" customFormat="false" ht="15" hidden="false" customHeight="false" outlineLevel="0" collapsed="false">
      <c r="A487" s="26"/>
      <c r="B487" s="27" t="str">
        <f aca="false">IF(A487="","",A487+7-WEEKDAY(A487,1)+1)</f>
        <v/>
      </c>
      <c r="C487" s="28"/>
      <c r="D487" s="29"/>
      <c r="E487" s="28"/>
      <c r="F487" s="28"/>
      <c r="G487" s="30"/>
      <c r="H487" s="31" t="str">
        <f aca="false">IF(E487="","",IFERROR(INDEX(Lists!$C$2:$C$86,MATCH(E487,Lists!$A$2:$A$86,0)),"?"))</f>
        <v/>
      </c>
      <c r="I487" s="32" t="str">
        <f aca="false">IF(OR(C487="",E487=""),"",IF(H487="Yes",IFERROR(INDEX(Employees!$E$4:$E$43,MATCH(C487,Employees!$B$4:$B$43,0)),0),0))</f>
        <v/>
      </c>
      <c r="J487" s="33" t="str">
        <f aca="false">IF(G487="","",IF(H487="Yes",G487*I487,0))</f>
        <v/>
      </c>
      <c r="K487" s="33" t="str">
        <f aca="false">IF(OR(C487="",G487=""),"",G487*IFERROR(INDEX(Employees!$F$4:$F$43,MATCH(C487,Employees!$B$4:$B$43,0)),0))</f>
        <v/>
      </c>
      <c r="L487" s="28"/>
    </row>
    <row r="488" customFormat="false" ht="15" hidden="false" customHeight="false" outlineLevel="0" collapsed="false">
      <c r="A488" s="26"/>
      <c r="B488" s="19" t="str">
        <f aca="false">IF(A488="","",A488+7-WEEKDAY(A488,1)+1)</f>
        <v/>
      </c>
      <c r="C488" s="28"/>
      <c r="D488" s="29"/>
      <c r="E488" s="28"/>
      <c r="F488" s="28"/>
      <c r="G488" s="30"/>
      <c r="H488" s="23" t="str">
        <f aca="false">IF(E488="","",IFERROR(INDEX(Lists!$C$2:$C$86,MATCH(E488,Lists!$A$2:$A$86,0)),"?"))</f>
        <v/>
      </c>
      <c r="I488" s="24" t="str">
        <f aca="false">IF(OR(C488="",E488=""),"",IF(H488="Yes",IFERROR(INDEX(Employees!$E$4:$E$43,MATCH(C488,Employees!$B$4:$B$43,0)),0),0))</f>
        <v/>
      </c>
      <c r="J488" s="25" t="str">
        <f aca="false">IF(G488="","",IF(H488="Yes",G488*I488,0))</f>
        <v/>
      </c>
      <c r="K488" s="25" t="str">
        <f aca="false">IF(OR(C488="",G488=""),"",G488*IFERROR(INDEX(Employees!$F$4:$F$43,MATCH(C488,Employees!$B$4:$B$43,0)),0))</f>
        <v/>
      </c>
      <c r="L488" s="28"/>
    </row>
    <row r="489" customFormat="false" ht="15" hidden="false" customHeight="false" outlineLevel="0" collapsed="false">
      <c r="A489" s="26"/>
      <c r="B489" s="27" t="str">
        <f aca="false">IF(A489="","",A489+7-WEEKDAY(A489,1)+1)</f>
        <v/>
      </c>
      <c r="C489" s="28"/>
      <c r="D489" s="29"/>
      <c r="E489" s="28"/>
      <c r="F489" s="28"/>
      <c r="G489" s="30"/>
      <c r="H489" s="31" t="str">
        <f aca="false">IF(E489="","",IFERROR(INDEX(Lists!$C$2:$C$86,MATCH(E489,Lists!$A$2:$A$86,0)),"?"))</f>
        <v/>
      </c>
      <c r="I489" s="32" t="str">
        <f aca="false">IF(OR(C489="",E489=""),"",IF(H489="Yes",IFERROR(INDEX(Employees!$E$4:$E$43,MATCH(C489,Employees!$B$4:$B$43,0)),0),0))</f>
        <v/>
      </c>
      <c r="J489" s="33" t="str">
        <f aca="false">IF(G489="","",IF(H489="Yes",G489*I489,0))</f>
        <v/>
      </c>
      <c r="K489" s="33" t="str">
        <f aca="false">IF(OR(C489="",G489=""),"",G489*IFERROR(INDEX(Employees!$F$4:$F$43,MATCH(C489,Employees!$B$4:$B$43,0)),0))</f>
        <v/>
      </c>
      <c r="L489" s="28"/>
    </row>
    <row r="490" customFormat="false" ht="15" hidden="false" customHeight="false" outlineLevel="0" collapsed="false">
      <c r="A490" s="26"/>
      <c r="B490" s="19" t="str">
        <f aca="false">IF(A490="","",A490+7-WEEKDAY(A490,1)+1)</f>
        <v/>
      </c>
      <c r="C490" s="28"/>
      <c r="D490" s="29"/>
      <c r="E490" s="28"/>
      <c r="F490" s="28"/>
      <c r="G490" s="30"/>
      <c r="H490" s="23" t="str">
        <f aca="false">IF(E490="","",IFERROR(INDEX(Lists!$C$2:$C$86,MATCH(E490,Lists!$A$2:$A$86,0)),"?"))</f>
        <v/>
      </c>
      <c r="I490" s="24" t="str">
        <f aca="false">IF(OR(C490="",E490=""),"",IF(H490="Yes",IFERROR(INDEX(Employees!$E$4:$E$43,MATCH(C490,Employees!$B$4:$B$43,0)),0),0))</f>
        <v/>
      </c>
      <c r="J490" s="25" t="str">
        <f aca="false">IF(G490="","",IF(H490="Yes",G490*I490,0))</f>
        <v/>
      </c>
      <c r="K490" s="25" t="str">
        <f aca="false">IF(OR(C490="",G490=""),"",G490*IFERROR(INDEX(Employees!$F$4:$F$43,MATCH(C490,Employees!$B$4:$B$43,0)),0))</f>
        <v/>
      </c>
      <c r="L490" s="28"/>
    </row>
    <row r="491" customFormat="false" ht="15" hidden="false" customHeight="false" outlineLevel="0" collapsed="false">
      <c r="A491" s="26"/>
      <c r="B491" s="27" t="str">
        <f aca="false">IF(A491="","",A491+7-WEEKDAY(A491,1)+1)</f>
        <v/>
      </c>
      <c r="C491" s="28"/>
      <c r="D491" s="29"/>
      <c r="E491" s="28"/>
      <c r="F491" s="28"/>
      <c r="G491" s="30"/>
      <c r="H491" s="31" t="str">
        <f aca="false">IF(E491="","",IFERROR(INDEX(Lists!$C$2:$C$86,MATCH(E491,Lists!$A$2:$A$86,0)),"?"))</f>
        <v/>
      </c>
      <c r="I491" s="32" t="str">
        <f aca="false">IF(OR(C491="",E491=""),"",IF(H491="Yes",IFERROR(INDEX(Employees!$E$4:$E$43,MATCH(C491,Employees!$B$4:$B$43,0)),0),0))</f>
        <v/>
      </c>
      <c r="J491" s="33" t="str">
        <f aca="false">IF(G491="","",IF(H491="Yes",G491*I491,0))</f>
        <v/>
      </c>
      <c r="K491" s="33" t="str">
        <f aca="false">IF(OR(C491="",G491=""),"",G491*IFERROR(INDEX(Employees!$F$4:$F$43,MATCH(C491,Employees!$B$4:$B$43,0)),0))</f>
        <v/>
      </c>
      <c r="L491" s="28"/>
    </row>
    <row r="492" customFormat="false" ht="15" hidden="false" customHeight="false" outlineLevel="0" collapsed="false">
      <c r="A492" s="26"/>
      <c r="B492" s="19" t="str">
        <f aca="false">IF(A492="","",A492+7-WEEKDAY(A492,1)+1)</f>
        <v/>
      </c>
      <c r="C492" s="28"/>
      <c r="D492" s="29"/>
      <c r="E492" s="28"/>
      <c r="F492" s="28"/>
      <c r="G492" s="30"/>
      <c r="H492" s="23" t="str">
        <f aca="false">IF(E492="","",IFERROR(INDEX(Lists!$C$2:$C$86,MATCH(E492,Lists!$A$2:$A$86,0)),"?"))</f>
        <v/>
      </c>
      <c r="I492" s="24" t="str">
        <f aca="false">IF(OR(C492="",E492=""),"",IF(H492="Yes",IFERROR(INDEX(Employees!$E$4:$E$43,MATCH(C492,Employees!$B$4:$B$43,0)),0),0))</f>
        <v/>
      </c>
      <c r="J492" s="25" t="str">
        <f aca="false">IF(G492="","",IF(H492="Yes",G492*I492,0))</f>
        <v/>
      </c>
      <c r="K492" s="25" t="str">
        <f aca="false">IF(OR(C492="",G492=""),"",G492*IFERROR(INDEX(Employees!$F$4:$F$43,MATCH(C492,Employees!$B$4:$B$43,0)),0))</f>
        <v/>
      </c>
      <c r="L492" s="28"/>
    </row>
    <row r="493" customFormat="false" ht="15" hidden="false" customHeight="false" outlineLevel="0" collapsed="false">
      <c r="A493" s="26"/>
      <c r="B493" s="27" t="str">
        <f aca="false">IF(A493="","",A493+7-WEEKDAY(A493,1)+1)</f>
        <v/>
      </c>
      <c r="C493" s="28"/>
      <c r="D493" s="29"/>
      <c r="E493" s="28"/>
      <c r="F493" s="28"/>
      <c r="G493" s="30"/>
      <c r="H493" s="31" t="str">
        <f aca="false">IF(E493="","",IFERROR(INDEX(Lists!$C$2:$C$86,MATCH(E493,Lists!$A$2:$A$86,0)),"?"))</f>
        <v/>
      </c>
      <c r="I493" s="32" t="str">
        <f aca="false">IF(OR(C493="",E493=""),"",IF(H493="Yes",IFERROR(INDEX(Employees!$E$4:$E$43,MATCH(C493,Employees!$B$4:$B$43,0)),0),0))</f>
        <v/>
      </c>
      <c r="J493" s="33" t="str">
        <f aca="false">IF(G493="","",IF(H493="Yes",G493*I493,0))</f>
        <v/>
      </c>
      <c r="K493" s="33" t="str">
        <f aca="false">IF(OR(C493="",G493=""),"",G493*IFERROR(INDEX(Employees!$F$4:$F$43,MATCH(C493,Employees!$B$4:$B$43,0)),0))</f>
        <v/>
      </c>
      <c r="L493" s="28"/>
    </row>
    <row r="494" customFormat="false" ht="15" hidden="false" customHeight="false" outlineLevel="0" collapsed="false">
      <c r="A494" s="26"/>
      <c r="B494" s="19" t="str">
        <f aca="false">IF(A494="","",A494+7-WEEKDAY(A494,1)+1)</f>
        <v/>
      </c>
      <c r="C494" s="28"/>
      <c r="D494" s="29"/>
      <c r="E494" s="28"/>
      <c r="F494" s="28"/>
      <c r="G494" s="30"/>
      <c r="H494" s="23" t="str">
        <f aca="false">IF(E494="","",IFERROR(INDEX(Lists!$C$2:$C$86,MATCH(E494,Lists!$A$2:$A$86,0)),"?"))</f>
        <v/>
      </c>
      <c r="I494" s="24" t="str">
        <f aca="false">IF(OR(C494="",E494=""),"",IF(H494="Yes",IFERROR(INDEX(Employees!$E$4:$E$43,MATCH(C494,Employees!$B$4:$B$43,0)),0),0))</f>
        <v/>
      </c>
      <c r="J494" s="25" t="str">
        <f aca="false">IF(G494="","",IF(H494="Yes",G494*I494,0))</f>
        <v/>
      </c>
      <c r="K494" s="25" t="str">
        <f aca="false">IF(OR(C494="",G494=""),"",G494*IFERROR(INDEX(Employees!$F$4:$F$43,MATCH(C494,Employees!$B$4:$B$43,0)),0))</f>
        <v/>
      </c>
      <c r="L494" s="28"/>
    </row>
    <row r="495" customFormat="false" ht="15" hidden="false" customHeight="false" outlineLevel="0" collapsed="false">
      <c r="A495" s="26"/>
      <c r="B495" s="27" t="str">
        <f aca="false">IF(A495="","",A495+7-WEEKDAY(A495,1)+1)</f>
        <v/>
      </c>
      <c r="C495" s="28"/>
      <c r="D495" s="29"/>
      <c r="E495" s="28"/>
      <c r="F495" s="28"/>
      <c r="G495" s="30"/>
      <c r="H495" s="31" t="str">
        <f aca="false">IF(E495="","",IFERROR(INDEX(Lists!$C$2:$C$86,MATCH(E495,Lists!$A$2:$A$86,0)),"?"))</f>
        <v/>
      </c>
      <c r="I495" s="32" t="str">
        <f aca="false">IF(OR(C495="",E495=""),"",IF(H495="Yes",IFERROR(INDEX(Employees!$E$4:$E$43,MATCH(C495,Employees!$B$4:$B$43,0)),0),0))</f>
        <v/>
      </c>
      <c r="J495" s="33" t="str">
        <f aca="false">IF(G495="","",IF(H495="Yes",G495*I495,0))</f>
        <v/>
      </c>
      <c r="K495" s="33" t="str">
        <f aca="false">IF(OR(C495="",G495=""),"",G495*IFERROR(INDEX(Employees!$F$4:$F$43,MATCH(C495,Employees!$B$4:$B$43,0)),0))</f>
        <v/>
      </c>
      <c r="L495" s="28"/>
    </row>
    <row r="496" customFormat="false" ht="15" hidden="false" customHeight="false" outlineLevel="0" collapsed="false">
      <c r="A496" s="26"/>
      <c r="B496" s="19" t="str">
        <f aca="false">IF(A496="","",A496+7-WEEKDAY(A496,1)+1)</f>
        <v/>
      </c>
      <c r="C496" s="28"/>
      <c r="D496" s="29"/>
      <c r="E496" s="28"/>
      <c r="F496" s="28"/>
      <c r="G496" s="30"/>
      <c r="H496" s="23" t="str">
        <f aca="false">IF(E496="","",IFERROR(INDEX(Lists!$C$2:$C$86,MATCH(E496,Lists!$A$2:$A$86,0)),"?"))</f>
        <v/>
      </c>
      <c r="I496" s="24" t="str">
        <f aca="false">IF(OR(C496="",E496=""),"",IF(H496="Yes",IFERROR(INDEX(Employees!$E$4:$E$43,MATCH(C496,Employees!$B$4:$B$43,0)),0),0))</f>
        <v/>
      </c>
      <c r="J496" s="25" t="str">
        <f aca="false">IF(G496="","",IF(H496="Yes",G496*I496,0))</f>
        <v/>
      </c>
      <c r="K496" s="25" t="str">
        <f aca="false">IF(OR(C496="",G496=""),"",G496*IFERROR(INDEX(Employees!$F$4:$F$43,MATCH(C496,Employees!$B$4:$B$43,0)),0))</f>
        <v/>
      </c>
      <c r="L496" s="28"/>
    </row>
    <row r="497" customFormat="false" ht="15" hidden="false" customHeight="false" outlineLevel="0" collapsed="false">
      <c r="A497" s="26"/>
      <c r="B497" s="27" t="str">
        <f aca="false">IF(A497="","",A497+7-WEEKDAY(A497,1)+1)</f>
        <v/>
      </c>
      <c r="C497" s="28"/>
      <c r="D497" s="29"/>
      <c r="E497" s="28"/>
      <c r="F497" s="28"/>
      <c r="G497" s="30"/>
      <c r="H497" s="31" t="str">
        <f aca="false">IF(E497="","",IFERROR(INDEX(Lists!$C$2:$C$86,MATCH(E497,Lists!$A$2:$A$86,0)),"?"))</f>
        <v/>
      </c>
      <c r="I497" s="32" t="str">
        <f aca="false">IF(OR(C497="",E497=""),"",IF(H497="Yes",IFERROR(INDEX(Employees!$E$4:$E$43,MATCH(C497,Employees!$B$4:$B$43,0)),0),0))</f>
        <v/>
      </c>
      <c r="J497" s="33" t="str">
        <f aca="false">IF(G497="","",IF(H497="Yes",G497*I497,0))</f>
        <v/>
      </c>
      <c r="K497" s="33" t="str">
        <f aca="false">IF(OR(C497="",G497=""),"",G497*IFERROR(INDEX(Employees!$F$4:$F$43,MATCH(C497,Employees!$B$4:$B$43,0)),0))</f>
        <v/>
      </c>
      <c r="L497" s="28"/>
    </row>
    <row r="498" customFormat="false" ht="15" hidden="false" customHeight="false" outlineLevel="0" collapsed="false">
      <c r="A498" s="26"/>
      <c r="B498" s="19" t="str">
        <f aca="false">IF(A498="","",A498+7-WEEKDAY(A498,1)+1)</f>
        <v/>
      </c>
      <c r="C498" s="28"/>
      <c r="D498" s="29"/>
      <c r="E498" s="28"/>
      <c r="F498" s="28"/>
      <c r="G498" s="30"/>
      <c r="H498" s="23" t="str">
        <f aca="false">IF(E498="","",IFERROR(INDEX(Lists!$C$2:$C$86,MATCH(E498,Lists!$A$2:$A$86,0)),"?"))</f>
        <v/>
      </c>
      <c r="I498" s="24" t="str">
        <f aca="false">IF(OR(C498="",E498=""),"",IF(H498="Yes",IFERROR(INDEX(Employees!$E$4:$E$43,MATCH(C498,Employees!$B$4:$B$43,0)),0),0))</f>
        <v/>
      </c>
      <c r="J498" s="25" t="str">
        <f aca="false">IF(G498="","",IF(H498="Yes",G498*I498,0))</f>
        <v/>
      </c>
      <c r="K498" s="25" t="str">
        <f aca="false">IF(OR(C498="",G498=""),"",G498*IFERROR(INDEX(Employees!$F$4:$F$43,MATCH(C498,Employees!$B$4:$B$43,0)),0))</f>
        <v/>
      </c>
      <c r="L498" s="28"/>
    </row>
    <row r="499" customFormat="false" ht="15" hidden="false" customHeight="false" outlineLevel="0" collapsed="false">
      <c r="A499" s="26"/>
      <c r="B499" s="27" t="str">
        <f aca="false">IF(A499="","",A499+7-WEEKDAY(A499,1)+1)</f>
        <v/>
      </c>
      <c r="C499" s="28"/>
      <c r="D499" s="29"/>
      <c r="E499" s="28"/>
      <c r="F499" s="28"/>
      <c r="G499" s="30"/>
      <c r="H499" s="31" t="str">
        <f aca="false">IF(E499="","",IFERROR(INDEX(Lists!$C$2:$C$86,MATCH(E499,Lists!$A$2:$A$86,0)),"?"))</f>
        <v/>
      </c>
      <c r="I499" s="32" t="str">
        <f aca="false">IF(OR(C499="",E499=""),"",IF(H499="Yes",IFERROR(INDEX(Employees!$E$4:$E$43,MATCH(C499,Employees!$B$4:$B$43,0)),0),0))</f>
        <v/>
      </c>
      <c r="J499" s="33" t="str">
        <f aca="false">IF(G499="","",IF(H499="Yes",G499*I499,0))</f>
        <v/>
      </c>
      <c r="K499" s="33" t="str">
        <f aca="false">IF(OR(C499="",G499=""),"",G499*IFERROR(INDEX(Employees!$F$4:$F$43,MATCH(C499,Employees!$B$4:$B$43,0)),0))</f>
        <v/>
      </c>
      <c r="L499" s="28"/>
    </row>
    <row r="500" customFormat="false" ht="15" hidden="false" customHeight="false" outlineLevel="0" collapsed="false">
      <c r="A500" s="26"/>
      <c r="B500" s="19" t="str">
        <f aca="false">IF(A500="","",A500+7-WEEKDAY(A500,1)+1)</f>
        <v/>
      </c>
      <c r="C500" s="28"/>
      <c r="D500" s="29"/>
      <c r="E500" s="28"/>
      <c r="F500" s="28"/>
      <c r="G500" s="30"/>
      <c r="H500" s="23" t="str">
        <f aca="false">IF(E500="","",IFERROR(INDEX(Lists!$C$2:$C$86,MATCH(E500,Lists!$A$2:$A$86,0)),"?"))</f>
        <v/>
      </c>
      <c r="I500" s="24" t="str">
        <f aca="false">IF(OR(C500="",E500=""),"",IF(H500="Yes",IFERROR(INDEX(Employees!$E$4:$E$43,MATCH(C500,Employees!$B$4:$B$43,0)),0),0))</f>
        <v/>
      </c>
      <c r="J500" s="25" t="str">
        <f aca="false">IF(G500="","",IF(H500="Yes",G500*I500,0))</f>
        <v/>
      </c>
      <c r="K500" s="25" t="str">
        <f aca="false">IF(OR(C500="",G500=""),"",G500*IFERROR(INDEX(Employees!$F$4:$F$43,MATCH(C500,Employees!$B$4:$B$43,0)),0))</f>
        <v/>
      </c>
      <c r="L500" s="28"/>
    </row>
    <row r="501" customFormat="false" ht="15" hidden="false" customHeight="false" outlineLevel="0" collapsed="false">
      <c r="A501" s="26"/>
      <c r="B501" s="27" t="str">
        <f aca="false">IF(A501="","",A501+7-WEEKDAY(A501,1)+1)</f>
        <v/>
      </c>
      <c r="C501" s="28"/>
      <c r="D501" s="29"/>
      <c r="E501" s="28"/>
      <c r="F501" s="28"/>
      <c r="G501" s="30"/>
      <c r="H501" s="31" t="str">
        <f aca="false">IF(E501="","",IFERROR(INDEX(Lists!$C$2:$C$86,MATCH(E501,Lists!$A$2:$A$86,0)),"?"))</f>
        <v/>
      </c>
      <c r="I501" s="32" t="str">
        <f aca="false">IF(OR(C501="",E501=""),"",IF(H501="Yes",IFERROR(INDEX(Employees!$E$4:$E$43,MATCH(C501,Employees!$B$4:$B$43,0)),0),0))</f>
        <v/>
      </c>
      <c r="J501" s="33" t="str">
        <f aca="false">IF(G501="","",IF(H501="Yes",G501*I501,0))</f>
        <v/>
      </c>
      <c r="K501" s="33" t="str">
        <f aca="false">IF(OR(C501="",G501=""),"",G501*IFERROR(INDEX(Employees!$F$4:$F$43,MATCH(C501,Employees!$B$4:$B$43,0)),0))</f>
        <v/>
      </c>
      <c r="L501" s="28"/>
    </row>
    <row r="502" customFormat="false" ht="15" hidden="false" customHeight="false" outlineLevel="0" collapsed="false">
      <c r="A502" s="26"/>
      <c r="B502" s="19" t="str">
        <f aca="false">IF(A502="","",A502+7-WEEKDAY(A502,1)+1)</f>
        <v/>
      </c>
      <c r="C502" s="28"/>
      <c r="D502" s="29"/>
      <c r="E502" s="28"/>
      <c r="F502" s="28"/>
      <c r="G502" s="30"/>
      <c r="H502" s="23" t="str">
        <f aca="false">IF(E502="","",IFERROR(INDEX(Lists!$C$2:$C$86,MATCH(E502,Lists!$A$2:$A$86,0)),"?"))</f>
        <v/>
      </c>
      <c r="I502" s="24" t="str">
        <f aca="false">IF(OR(C502="",E502=""),"",IF(H502="Yes",IFERROR(INDEX(Employees!$E$4:$E$43,MATCH(C502,Employees!$B$4:$B$43,0)),0),0))</f>
        <v/>
      </c>
      <c r="J502" s="25" t="str">
        <f aca="false">IF(G502="","",IF(H502="Yes",G502*I502,0))</f>
        <v/>
      </c>
      <c r="K502" s="25" t="str">
        <f aca="false">IF(OR(C502="",G502=""),"",G502*IFERROR(INDEX(Employees!$F$4:$F$43,MATCH(C502,Employees!$B$4:$B$43,0)),0))</f>
        <v/>
      </c>
      <c r="L502" s="28"/>
    </row>
    <row r="503" customFormat="false" ht="15" hidden="false" customHeight="false" outlineLevel="0" collapsed="false">
      <c r="A503" s="26"/>
      <c r="B503" s="27" t="str">
        <f aca="false">IF(A503="","",A503+7-WEEKDAY(A503,1)+1)</f>
        <v/>
      </c>
      <c r="C503" s="28"/>
      <c r="D503" s="29"/>
      <c r="E503" s="28"/>
      <c r="F503" s="28"/>
      <c r="G503" s="30"/>
      <c r="H503" s="31" t="str">
        <f aca="false">IF(E503="","",IFERROR(INDEX(Lists!$C$2:$C$86,MATCH(E503,Lists!$A$2:$A$86,0)),"?"))</f>
        <v/>
      </c>
      <c r="I503" s="32" t="str">
        <f aca="false">IF(OR(C503="",E503=""),"",IF(H503="Yes",IFERROR(INDEX(Employees!$E$4:$E$43,MATCH(C503,Employees!$B$4:$B$43,0)),0),0))</f>
        <v/>
      </c>
      <c r="J503" s="33" t="str">
        <f aca="false">IF(G503="","",IF(H503="Yes",G503*I503,0))</f>
        <v/>
      </c>
      <c r="K503" s="33" t="str">
        <f aca="false">IF(OR(C503="",G503=""),"",G503*IFERROR(INDEX(Employees!$F$4:$F$43,MATCH(C503,Employees!$B$4:$B$43,0)),0))</f>
        <v/>
      </c>
      <c r="L503" s="28"/>
    </row>
    <row r="504" customFormat="false" ht="15" hidden="false" customHeight="false" outlineLevel="0" collapsed="false">
      <c r="A504" s="26"/>
      <c r="B504" s="19" t="str">
        <f aca="false">IF(A504="","",A504+7-WEEKDAY(A504,1)+1)</f>
        <v/>
      </c>
      <c r="C504" s="28"/>
      <c r="D504" s="29"/>
      <c r="E504" s="28"/>
      <c r="F504" s="28"/>
      <c r="G504" s="30"/>
      <c r="H504" s="23" t="str">
        <f aca="false">IF(E504="","",IFERROR(INDEX(Lists!$C$2:$C$86,MATCH(E504,Lists!$A$2:$A$86,0)),"?"))</f>
        <v/>
      </c>
      <c r="I504" s="24" t="str">
        <f aca="false">IF(OR(C504="",E504=""),"",IF(H504="Yes",IFERROR(INDEX(Employees!$E$4:$E$43,MATCH(C504,Employees!$B$4:$B$43,0)),0),0))</f>
        <v/>
      </c>
      <c r="J504" s="25" t="str">
        <f aca="false">IF(G504="","",IF(H504="Yes",G504*I504,0))</f>
        <v/>
      </c>
      <c r="K504" s="25" t="str">
        <f aca="false">IF(OR(C504="",G504=""),"",G504*IFERROR(INDEX(Employees!$F$4:$F$43,MATCH(C504,Employees!$B$4:$B$43,0)),0))</f>
        <v/>
      </c>
      <c r="L504" s="28"/>
    </row>
    <row r="505" customFormat="false" ht="15" hidden="false" customHeight="false" outlineLevel="0" collapsed="false">
      <c r="A505" s="26"/>
      <c r="B505" s="27" t="str">
        <f aca="false">IF(A505="","",A505+7-WEEKDAY(A505,1)+1)</f>
        <v/>
      </c>
      <c r="C505" s="28"/>
      <c r="D505" s="29"/>
      <c r="E505" s="28"/>
      <c r="F505" s="28"/>
      <c r="G505" s="30"/>
      <c r="H505" s="31" t="str">
        <f aca="false">IF(E505="","",IFERROR(INDEX(Lists!$C$2:$C$86,MATCH(E505,Lists!$A$2:$A$86,0)),"?"))</f>
        <v/>
      </c>
      <c r="I505" s="32" t="str">
        <f aca="false">IF(OR(C505="",E505=""),"",IF(H505="Yes",IFERROR(INDEX(Employees!$E$4:$E$43,MATCH(C505,Employees!$B$4:$B$43,0)),0),0))</f>
        <v/>
      </c>
      <c r="J505" s="33" t="str">
        <f aca="false">IF(G505="","",IF(H505="Yes",G505*I505,0))</f>
        <v/>
      </c>
      <c r="K505" s="33" t="str">
        <f aca="false">IF(OR(C505="",G505=""),"",G505*IFERROR(INDEX(Employees!$F$4:$F$43,MATCH(C505,Employees!$B$4:$B$43,0)),0))</f>
        <v/>
      </c>
      <c r="L505" s="28"/>
    </row>
    <row r="506" customFormat="false" ht="15" hidden="false" customHeight="false" outlineLevel="0" collapsed="false">
      <c r="A506" s="26"/>
      <c r="B506" s="19" t="str">
        <f aca="false">IF(A506="","",A506+7-WEEKDAY(A506,1)+1)</f>
        <v/>
      </c>
      <c r="C506" s="28"/>
      <c r="D506" s="29"/>
      <c r="E506" s="28"/>
      <c r="F506" s="28"/>
      <c r="G506" s="30"/>
      <c r="H506" s="23" t="str">
        <f aca="false">IF(E506="","",IFERROR(INDEX(Lists!$C$2:$C$86,MATCH(E506,Lists!$A$2:$A$86,0)),"?"))</f>
        <v/>
      </c>
      <c r="I506" s="24" t="str">
        <f aca="false">IF(OR(C506="",E506=""),"",IF(H506="Yes",IFERROR(INDEX(Employees!$E$4:$E$43,MATCH(C506,Employees!$B$4:$B$43,0)),0),0))</f>
        <v/>
      </c>
      <c r="J506" s="25" t="str">
        <f aca="false">IF(G506="","",IF(H506="Yes",G506*I506,0))</f>
        <v/>
      </c>
      <c r="K506" s="25" t="str">
        <f aca="false">IF(OR(C506="",G506=""),"",G506*IFERROR(INDEX(Employees!$F$4:$F$43,MATCH(C506,Employees!$B$4:$B$43,0)),0))</f>
        <v/>
      </c>
      <c r="L506" s="28"/>
    </row>
    <row r="507" customFormat="false" ht="15" hidden="false" customHeight="false" outlineLevel="0" collapsed="false">
      <c r="A507" s="26"/>
      <c r="B507" s="27" t="str">
        <f aca="false">IF(A507="","",A507+7-WEEKDAY(A507,1)+1)</f>
        <v/>
      </c>
      <c r="C507" s="28"/>
      <c r="D507" s="29"/>
      <c r="E507" s="28"/>
      <c r="F507" s="28"/>
      <c r="G507" s="30"/>
      <c r="H507" s="31" t="str">
        <f aca="false">IF(E507="","",IFERROR(INDEX(Lists!$C$2:$C$86,MATCH(E507,Lists!$A$2:$A$86,0)),"?"))</f>
        <v/>
      </c>
      <c r="I507" s="32" t="str">
        <f aca="false">IF(OR(C507="",E507=""),"",IF(H507="Yes",IFERROR(INDEX(Employees!$E$4:$E$43,MATCH(C507,Employees!$B$4:$B$43,0)),0),0))</f>
        <v/>
      </c>
      <c r="J507" s="33" t="str">
        <f aca="false">IF(G507="","",IF(H507="Yes",G507*I507,0))</f>
        <v/>
      </c>
      <c r="K507" s="33" t="str">
        <f aca="false">IF(OR(C507="",G507=""),"",G507*IFERROR(INDEX(Employees!$F$4:$F$43,MATCH(C507,Employees!$B$4:$B$43,0)),0))</f>
        <v/>
      </c>
      <c r="L507" s="28"/>
    </row>
    <row r="508" customFormat="false" ht="15" hidden="false" customHeight="false" outlineLevel="0" collapsed="false">
      <c r="A508" s="26"/>
      <c r="B508" s="19" t="str">
        <f aca="false">IF(A508="","",A508+7-WEEKDAY(A508,1)+1)</f>
        <v/>
      </c>
      <c r="C508" s="28"/>
      <c r="D508" s="29"/>
      <c r="E508" s="28"/>
      <c r="F508" s="28"/>
      <c r="G508" s="30"/>
      <c r="H508" s="23" t="str">
        <f aca="false">IF(E508="","",IFERROR(INDEX(Lists!$C$2:$C$86,MATCH(E508,Lists!$A$2:$A$86,0)),"?"))</f>
        <v/>
      </c>
      <c r="I508" s="24" t="str">
        <f aca="false">IF(OR(C508="",E508=""),"",IF(H508="Yes",IFERROR(INDEX(Employees!$E$4:$E$43,MATCH(C508,Employees!$B$4:$B$43,0)),0),0))</f>
        <v/>
      </c>
      <c r="J508" s="25" t="str">
        <f aca="false">IF(G508="","",IF(H508="Yes",G508*I508,0))</f>
        <v/>
      </c>
      <c r="K508" s="25" t="str">
        <f aca="false">IF(OR(C508="",G508=""),"",G508*IFERROR(INDEX(Employees!$F$4:$F$43,MATCH(C508,Employees!$B$4:$B$43,0)),0))</f>
        <v/>
      </c>
      <c r="L508" s="28"/>
    </row>
    <row r="509" customFormat="false" ht="15" hidden="false" customHeight="false" outlineLevel="0" collapsed="false">
      <c r="A509" s="26"/>
      <c r="B509" s="27" t="str">
        <f aca="false">IF(A509="","",A509+7-WEEKDAY(A509,1)+1)</f>
        <v/>
      </c>
      <c r="C509" s="28"/>
      <c r="D509" s="29"/>
      <c r="E509" s="28"/>
      <c r="F509" s="28"/>
      <c r="G509" s="30"/>
      <c r="H509" s="31" t="str">
        <f aca="false">IF(E509="","",IFERROR(INDEX(Lists!$C$2:$C$86,MATCH(E509,Lists!$A$2:$A$86,0)),"?"))</f>
        <v/>
      </c>
      <c r="I509" s="32" t="str">
        <f aca="false">IF(OR(C509="",E509=""),"",IF(H509="Yes",IFERROR(INDEX(Employees!$E$4:$E$43,MATCH(C509,Employees!$B$4:$B$43,0)),0),0))</f>
        <v/>
      </c>
      <c r="J509" s="33" t="str">
        <f aca="false">IF(G509="","",IF(H509="Yes",G509*I509,0))</f>
        <v/>
      </c>
      <c r="K509" s="33" t="str">
        <f aca="false">IF(OR(C509="",G509=""),"",G509*IFERROR(INDEX(Employees!$F$4:$F$43,MATCH(C509,Employees!$B$4:$B$43,0)),0))</f>
        <v/>
      </c>
      <c r="L509" s="28"/>
    </row>
    <row r="510" customFormat="false" ht="15" hidden="false" customHeight="false" outlineLevel="0" collapsed="false">
      <c r="A510" s="26"/>
      <c r="B510" s="19" t="str">
        <f aca="false">IF(A510="","",A510+7-WEEKDAY(A510,1)+1)</f>
        <v/>
      </c>
      <c r="C510" s="28"/>
      <c r="D510" s="29"/>
      <c r="E510" s="28"/>
      <c r="F510" s="28"/>
      <c r="G510" s="30"/>
      <c r="H510" s="23" t="str">
        <f aca="false">IF(E510="","",IFERROR(INDEX(Lists!$C$2:$C$86,MATCH(E510,Lists!$A$2:$A$86,0)),"?"))</f>
        <v/>
      </c>
      <c r="I510" s="24" t="str">
        <f aca="false">IF(OR(C510="",E510=""),"",IF(H510="Yes",IFERROR(INDEX(Employees!$E$4:$E$43,MATCH(C510,Employees!$B$4:$B$43,0)),0),0))</f>
        <v/>
      </c>
      <c r="J510" s="25" t="str">
        <f aca="false">IF(G510="","",IF(H510="Yes",G510*I510,0))</f>
        <v/>
      </c>
      <c r="K510" s="25" t="str">
        <f aca="false">IF(OR(C510="",G510=""),"",G510*IFERROR(INDEX(Employees!$F$4:$F$43,MATCH(C510,Employees!$B$4:$B$43,0)),0))</f>
        <v/>
      </c>
      <c r="L510" s="28"/>
    </row>
    <row r="511" customFormat="false" ht="15" hidden="false" customHeight="false" outlineLevel="0" collapsed="false">
      <c r="A511" s="26"/>
      <c r="B511" s="27" t="str">
        <f aca="false">IF(A511="","",A511+7-WEEKDAY(A511,1)+1)</f>
        <v/>
      </c>
      <c r="C511" s="28"/>
      <c r="D511" s="29"/>
      <c r="E511" s="28"/>
      <c r="F511" s="28"/>
      <c r="G511" s="30"/>
      <c r="H511" s="31" t="str">
        <f aca="false">IF(E511="","",IFERROR(INDEX(Lists!$C$2:$C$86,MATCH(E511,Lists!$A$2:$A$86,0)),"?"))</f>
        <v/>
      </c>
      <c r="I511" s="32" t="str">
        <f aca="false">IF(OR(C511="",E511=""),"",IF(H511="Yes",IFERROR(INDEX(Employees!$E$4:$E$43,MATCH(C511,Employees!$B$4:$B$43,0)),0),0))</f>
        <v/>
      </c>
      <c r="J511" s="33" t="str">
        <f aca="false">IF(G511="","",IF(H511="Yes",G511*I511,0))</f>
        <v/>
      </c>
      <c r="K511" s="33" t="str">
        <f aca="false">IF(OR(C511="",G511=""),"",G511*IFERROR(INDEX(Employees!$F$4:$F$43,MATCH(C511,Employees!$B$4:$B$43,0)),0))</f>
        <v/>
      </c>
      <c r="L511" s="28"/>
    </row>
    <row r="512" customFormat="false" ht="15" hidden="false" customHeight="false" outlineLevel="0" collapsed="false">
      <c r="A512" s="26"/>
      <c r="B512" s="19" t="str">
        <f aca="false">IF(A512="","",A512+7-WEEKDAY(A512,1)+1)</f>
        <v/>
      </c>
      <c r="C512" s="28"/>
      <c r="D512" s="29"/>
      <c r="E512" s="28"/>
      <c r="F512" s="28"/>
      <c r="G512" s="30"/>
      <c r="H512" s="23" t="str">
        <f aca="false">IF(E512="","",IFERROR(INDEX(Lists!$C$2:$C$86,MATCH(E512,Lists!$A$2:$A$86,0)),"?"))</f>
        <v/>
      </c>
      <c r="I512" s="24" t="str">
        <f aca="false">IF(OR(C512="",E512=""),"",IF(H512="Yes",IFERROR(INDEX(Employees!$E$4:$E$43,MATCH(C512,Employees!$B$4:$B$43,0)),0),0))</f>
        <v/>
      </c>
      <c r="J512" s="25" t="str">
        <f aca="false">IF(G512="","",IF(H512="Yes",G512*I512,0))</f>
        <v/>
      </c>
      <c r="K512" s="25" t="str">
        <f aca="false">IF(OR(C512="",G512=""),"",G512*IFERROR(INDEX(Employees!$F$4:$F$43,MATCH(C512,Employees!$B$4:$B$43,0)),0))</f>
        <v/>
      </c>
      <c r="L512" s="28"/>
    </row>
    <row r="513" customFormat="false" ht="15" hidden="false" customHeight="false" outlineLevel="0" collapsed="false">
      <c r="A513" s="26"/>
      <c r="B513" s="27" t="str">
        <f aca="false">IF(A513="","",A513+7-WEEKDAY(A513,1)+1)</f>
        <v/>
      </c>
      <c r="C513" s="28"/>
      <c r="D513" s="29"/>
      <c r="E513" s="28"/>
      <c r="F513" s="28"/>
      <c r="G513" s="30"/>
      <c r="H513" s="31" t="str">
        <f aca="false">IF(E513="","",IFERROR(INDEX(Lists!$C$2:$C$86,MATCH(E513,Lists!$A$2:$A$86,0)),"?"))</f>
        <v/>
      </c>
      <c r="I513" s="32" t="str">
        <f aca="false">IF(OR(C513="",E513=""),"",IF(H513="Yes",IFERROR(INDEX(Employees!$E$4:$E$43,MATCH(C513,Employees!$B$4:$B$43,0)),0),0))</f>
        <v/>
      </c>
      <c r="J513" s="33" t="str">
        <f aca="false">IF(G513="","",IF(H513="Yes",G513*I513,0))</f>
        <v/>
      </c>
      <c r="K513" s="33" t="str">
        <f aca="false">IF(OR(C513="",G513=""),"",G513*IFERROR(INDEX(Employees!$F$4:$F$43,MATCH(C513,Employees!$B$4:$B$43,0)),0))</f>
        <v/>
      </c>
      <c r="L513" s="28"/>
    </row>
    <row r="514" customFormat="false" ht="15" hidden="false" customHeight="false" outlineLevel="0" collapsed="false">
      <c r="A514" s="26"/>
      <c r="B514" s="19" t="str">
        <f aca="false">IF(A514="","",A514+7-WEEKDAY(A514,1)+1)</f>
        <v/>
      </c>
      <c r="C514" s="28"/>
      <c r="D514" s="29"/>
      <c r="E514" s="28"/>
      <c r="F514" s="28"/>
      <c r="G514" s="30"/>
      <c r="H514" s="23" t="str">
        <f aca="false">IF(E514="","",IFERROR(INDEX(Lists!$C$2:$C$86,MATCH(E514,Lists!$A$2:$A$86,0)),"?"))</f>
        <v/>
      </c>
      <c r="I514" s="24" t="str">
        <f aca="false">IF(OR(C514="",E514=""),"",IF(H514="Yes",IFERROR(INDEX(Employees!$E$4:$E$43,MATCH(C514,Employees!$B$4:$B$43,0)),0),0))</f>
        <v/>
      </c>
      <c r="J514" s="25" t="str">
        <f aca="false">IF(G514="","",IF(H514="Yes",G514*I514,0))</f>
        <v/>
      </c>
      <c r="K514" s="25" t="str">
        <f aca="false">IF(OR(C514="",G514=""),"",G514*IFERROR(INDEX(Employees!$F$4:$F$43,MATCH(C514,Employees!$B$4:$B$43,0)),0))</f>
        <v/>
      </c>
      <c r="L514" s="28"/>
    </row>
    <row r="515" customFormat="false" ht="15" hidden="false" customHeight="false" outlineLevel="0" collapsed="false">
      <c r="A515" s="26"/>
      <c r="B515" s="27" t="str">
        <f aca="false">IF(A515="","",A515+7-WEEKDAY(A515,1)+1)</f>
        <v/>
      </c>
      <c r="C515" s="28"/>
      <c r="D515" s="29"/>
      <c r="E515" s="28"/>
      <c r="F515" s="28"/>
      <c r="G515" s="30"/>
      <c r="H515" s="31" t="str">
        <f aca="false">IF(E515="","",IFERROR(INDEX(Lists!$C$2:$C$86,MATCH(E515,Lists!$A$2:$A$86,0)),"?"))</f>
        <v/>
      </c>
      <c r="I515" s="32" t="str">
        <f aca="false">IF(OR(C515="",E515=""),"",IF(H515="Yes",IFERROR(INDEX(Employees!$E$4:$E$43,MATCH(C515,Employees!$B$4:$B$43,0)),0),0))</f>
        <v/>
      </c>
      <c r="J515" s="33" t="str">
        <f aca="false">IF(G515="","",IF(H515="Yes",G515*I515,0))</f>
        <v/>
      </c>
      <c r="K515" s="33" t="str">
        <f aca="false">IF(OR(C515="",G515=""),"",G515*IFERROR(INDEX(Employees!$F$4:$F$43,MATCH(C515,Employees!$B$4:$B$43,0)),0))</f>
        <v/>
      </c>
      <c r="L515" s="28"/>
    </row>
    <row r="516" customFormat="false" ht="15" hidden="false" customHeight="false" outlineLevel="0" collapsed="false">
      <c r="A516" s="26"/>
      <c r="B516" s="19" t="str">
        <f aca="false">IF(A516="","",A516+7-WEEKDAY(A516,1)+1)</f>
        <v/>
      </c>
      <c r="C516" s="28"/>
      <c r="D516" s="29"/>
      <c r="E516" s="28"/>
      <c r="F516" s="28"/>
      <c r="G516" s="30"/>
      <c r="H516" s="23" t="str">
        <f aca="false">IF(E516="","",IFERROR(INDEX(Lists!$C$2:$C$86,MATCH(E516,Lists!$A$2:$A$86,0)),"?"))</f>
        <v/>
      </c>
      <c r="I516" s="24" t="str">
        <f aca="false">IF(OR(C516="",E516=""),"",IF(H516="Yes",IFERROR(INDEX(Employees!$E$4:$E$43,MATCH(C516,Employees!$B$4:$B$43,0)),0),0))</f>
        <v/>
      </c>
      <c r="J516" s="25" t="str">
        <f aca="false">IF(G516="","",IF(H516="Yes",G516*I516,0))</f>
        <v/>
      </c>
      <c r="K516" s="25" t="str">
        <f aca="false">IF(OR(C516="",G516=""),"",G516*IFERROR(INDEX(Employees!$F$4:$F$43,MATCH(C516,Employees!$B$4:$B$43,0)),0))</f>
        <v/>
      </c>
      <c r="L516" s="28"/>
    </row>
    <row r="517" customFormat="false" ht="15" hidden="false" customHeight="false" outlineLevel="0" collapsed="false">
      <c r="A517" s="26"/>
      <c r="B517" s="27" t="str">
        <f aca="false">IF(A517="","",A517+7-WEEKDAY(A517,1)+1)</f>
        <v/>
      </c>
      <c r="C517" s="28"/>
      <c r="D517" s="29"/>
      <c r="E517" s="28"/>
      <c r="F517" s="28"/>
      <c r="G517" s="30"/>
      <c r="H517" s="31" t="str">
        <f aca="false">IF(E517="","",IFERROR(INDEX(Lists!$C$2:$C$86,MATCH(E517,Lists!$A$2:$A$86,0)),"?"))</f>
        <v/>
      </c>
      <c r="I517" s="32" t="str">
        <f aca="false">IF(OR(C517="",E517=""),"",IF(H517="Yes",IFERROR(INDEX(Employees!$E$4:$E$43,MATCH(C517,Employees!$B$4:$B$43,0)),0),0))</f>
        <v/>
      </c>
      <c r="J517" s="33" t="str">
        <f aca="false">IF(G517="","",IF(H517="Yes",G517*I517,0))</f>
        <v/>
      </c>
      <c r="K517" s="33" t="str">
        <f aca="false">IF(OR(C517="",G517=""),"",G517*IFERROR(INDEX(Employees!$F$4:$F$43,MATCH(C517,Employees!$B$4:$B$43,0)),0))</f>
        <v/>
      </c>
      <c r="L517" s="28"/>
    </row>
    <row r="518" customFormat="false" ht="15" hidden="false" customHeight="false" outlineLevel="0" collapsed="false">
      <c r="A518" s="26"/>
      <c r="B518" s="19" t="str">
        <f aca="false">IF(A518="","",A518+7-WEEKDAY(A518,1)+1)</f>
        <v/>
      </c>
      <c r="C518" s="28"/>
      <c r="D518" s="29"/>
      <c r="E518" s="28"/>
      <c r="F518" s="28"/>
      <c r="G518" s="30"/>
      <c r="H518" s="23" t="str">
        <f aca="false">IF(E518="","",IFERROR(INDEX(Lists!$C$2:$C$86,MATCH(E518,Lists!$A$2:$A$86,0)),"?"))</f>
        <v/>
      </c>
      <c r="I518" s="24" t="str">
        <f aca="false">IF(OR(C518="",E518=""),"",IF(H518="Yes",IFERROR(INDEX(Employees!$E$4:$E$43,MATCH(C518,Employees!$B$4:$B$43,0)),0),0))</f>
        <v/>
      </c>
      <c r="J518" s="25" t="str">
        <f aca="false">IF(G518="","",IF(H518="Yes",G518*I518,0))</f>
        <v/>
      </c>
      <c r="K518" s="25" t="str">
        <f aca="false">IF(OR(C518="",G518=""),"",G518*IFERROR(INDEX(Employees!$F$4:$F$43,MATCH(C518,Employees!$B$4:$B$43,0)),0))</f>
        <v/>
      </c>
      <c r="L518" s="28"/>
    </row>
    <row r="519" customFormat="false" ht="15" hidden="false" customHeight="false" outlineLevel="0" collapsed="false">
      <c r="A519" s="26"/>
      <c r="B519" s="27" t="str">
        <f aca="false">IF(A519="","",A519+7-WEEKDAY(A519,1)+1)</f>
        <v/>
      </c>
      <c r="C519" s="28"/>
      <c r="D519" s="29"/>
      <c r="E519" s="28"/>
      <c r="F519" s="28"/>
      <c r="G519" s="30"/>
      <c r="H519" s="31" t="str">
        <f aca="false">IF(E519="","",IFERROR(INDEX(Lists!$C$2:$C$86,MATCH(E519,Lists!$A$2:$A$86,0)),"?"))</f>
        <v/>
      </c>
      <c r="I519" s="32" t="str">
        <f aca="false">IF(OR(C519="",E519=""),"",IF(H519="Yes",IFERROR(INDEX(Employees!$E$4:$E$43,MATCH(C519,Employees!$B$4:$B$43,0)),0),0))</f>
        <v/>
      </c>
      <c r="J519" s="33" t="str">
        <f aca="false">IF(G519="","",IF(H519="Yes",G519*I519,0))</f>
        <v/>
      </c>
      <c r="K519" s="33" t="str">
        <f aca="false">IF(OR(C519="",G519=""),"",G519*IFERROR(INDEX(Employees!$F$4:$F$43,MATCH(C519,Employees!$B$4:$B$43,0)),0))</f>
        <v/>
      </c>
      <c r="L519" s="28"/>
    </row>
    <row r="520" customFormat="false" ht="15" hidden="false" customHeight="false" outlineLevel="0" collapsed="false">
      <c r="A520" s="26"/>
      <c r="B520" s="19" t="str">
        <f aca="false">IF(A520="","",A520+7-WEEKDAY(A520,1)+1)</f>
        <v/>
      </c>
      <c r="C520" s="28"/>
      <c r="D520" s="29"/>
      <c r="E520" s="28"/>
      <c r="F520" s="28"/>
      <c r="G520" s="30"/>
      <c r="H520" s="23" t="str">
        <f aca="false">IF(E520="","",IFERROR(INDEX(Lists!$C$2:$C$86,MATCH(E520,Lists!$A$2:$A$86,0)),"?"))</f>
        <v/>
      </c>
      <c r="I520" s="24" t="str">
        <f aca="false">IF(OR(C520="",E520=""),"",IF(H520="Yes",IFERROR(INDEX(Employees!$E$4:$E$43,MATCH(C520,Employees!$B$4:$B$43,0)),0),0))</f>
        <v/>
      </c>
      <c r="J520" s="25" t="str">
        <f aca="false">IF(G520="","",IF(H520="Yes",G520*I520,0))</f>
        <v/>
      </c>
      <c r="K520" s="25" t="str">
        <f aca="false">IF(OR(C520="",G520=""),"",G520*IFERROR(INDEX(Employees!$F$4:$F$43,MATCH(C520,Employees!$B$4:$B$43,0)),0))</f>
        <v/>
      </c>
      <c r="L520" s="28"/>
    </row>
    <row r="521" customFormat="false" ht="15" hidden="false" customHeight="false" outlineLevel="0" collapsed="false">
      <c r="A521" s="26"/>
      <c r="B521" s="27" t="str">
        <f aca="false">IF(A521="","",A521+7-WEEKDAY(A521,1)+1)</f>
        <v/>
      </c>
      <c r="C521" s="28"/>
      <c r="D521" s="29"/>
      <c r="E521" s="28"/>
      <c r="F521" s="28"/>
      <c r="G521" s="30"/>
      <c r="H521" s="31" t="str">
        <f aca="false">IF(E521="","",IFERROR(INDEX(Lists!$C$2:$C$86,MATCH(E521,Lists!$A$2:$A$86,0)),"?"))</f>
        <v/>
      </c>
      <c r="I521" s="32" t="str">
        <f aca="false">IF(OR(C521="",E521=""),"",IF(H521="Yes",IFERROR(INDEX(Employees!$E$4:$E$43,MATCH(C521,Employees!$B$4:$B$43,0)),0),0))</f>
        <v/>
      </c>
      <c r="J521" s="33" t="str">
        <f aca="false">IF(G521="","",IF(H521="Yes",G521*I521,0))</f>
        <v/>
      </c>
      <c r="K521" s="33" t="str">
        <f aca="false">IF(OR(C521="",G521=""),"",G521*IFERROR(INDEX(Employees!$F$4:$F$43,MATCH(C521,Employees!$B$4:$B$43,0)),0))</f>
        <v/>
      </c>
      <c r="L521" s="28"/>
    </row>
    <row r="522" customFormat="false" ht="15" hidden="false" customHeight="false" outlineLevel="0" collapsed="false">
      <c r="A522" s="26"/>
      <c r="B522" s="19" t="str">
        <f aca="false">IF(A522="","",A522+7-WEEKDAY(A522,1)+1)</f>
        <v/>
      </c>
      <c r="C522" s="28"/>
      <c r="D522" s="29"/>
      <c r="E522" s="28"/>
      <c r="F522" s="28"/>
      <c r="G522" s="30"/>
      <c r="H522" s="23" t="str">
        <f aca="false">IF(E522="","",IFERROR(INDEX(Lists!$C$2:$C$86,MATCH(E522,Lists!$A$2:$A$86,0)),"?"))</f>
        <v/>
      </c>
      <c r="I522" s="24" t="str">
        <f aca="false">IF(OR(C522="",E522=""),"",IF(H522="Yes",IFERROR(INDEX(Employees!$E$4:$E$43,MATCH(C522,Employees!$B$4:$B$43,0)),0),0))</f>
        <v/>
      </c>
      <c r="J522" s="25" t="str">
        <f aca="false">IF(G522="","",IF(H522="Yes",G522*I522,0))</f>
        <v/>
      </c>
      <c r="K522" s="25" t="str">
        <f aca="false">IF(OR(C522="",G522=""),"",G522*IFERROR(INDEX(Employees!$F$4:$F$43,MATCH(C522,Employees!$B$4:$B$43,0)),0))</f>
        <v/>
      </c>
      <c r="L522" s="28"/>
    </row>
    <row r="523" customFormat="false" ht="15" hidden="false" customHeight="false" outlineLevel="0" collapsed="false">
      <c r="A523" s="26"/>
      <c r="B523" s="27" t="str">
        <f aca="false">IF(A523="","",A523+7-WEEKDAY(A523,1)+1)</f>
        <v/>
      </c>
      <c r="C523" s="28"/>
      <c r="D523" s="29"/>
      <c r="E523" s="28"/>
      <c r="F523" s="28"/>
      <c r="G523" s="30"/>
      <c r="H523" s="31" t="str">
        <f aca="false">IF(E523="","",IFERROR(INDEX(Lists!$C$2:$C$86,MATCH(E523,Lists!$A$2:$A$86,0)),"?"))</f>
        <v/>
      </c>
      <c r="I523" s="32" t="str">
        <f aca="false">IF(OR(C523="",E523=""),"",IF(H523="Yes",IFERROR(INDEX(Employees!$E$4:$E$43,MATCH(C523,Employees!$B$4:$B$43,0)),0),0))</f>
        <v/>
      </c>
      <c r="J523" s="33" t="str">
        <f aca="false">IF(G523="","",IF(H523="Yes",G523*I523,0))</f>
        <v/>
      </c>
      <c r="K523" s="33" t="str">
        <f aca="false">IF(OR(C523="",G523=""),"",G523*IFERROR(INDEX(Employees!$F$4:$F$43,MATCH(C523,Employees!$B$4:$B$43,0)),0))</f>
        <v/>
      </c>
      <c r="L523" s="28"/>
    </row>
    <row r="524" customFormat="false" ht="15" hidden="false" customHeight="false" outlineLevel="0" collapsed="false">
      <c r="A524" s="26"/>
      <c r="B524" s="19" t="str">
        <f aca="false">IF(A524="","",A524+7-WEEKDAY(A524,1)+1)</f>
        <v/>
      </c>
      <c r="C524" s="28"/>
      <c r="D524" s="29"/>
      <c r="E524" s="28"/>
      <c r="F524" s="28"/>
      <c r="G524" s="30"/>
      <c r="H524" s="23" t="str">
        <f aca="false">IF(E524="","",IFERROR(INDEX(Lists!$C$2:$C$86,MATCH(E524,Lists!$A$2:$A$86,0)),"?"))</f>
        <v/>
      </c>
      <c r="I524" s="24" t="str">
        <f aca="false">IF(OR(C524="",E524=""),"",IF(H524="Yes",IFERROR(INDEX(Employees!$E$4:$E$43,MATCH(C524,Employees!$B$4:$B$43,0)),0),0))</f>
        <v/>
      </c>
      <c r="J524" s="25" t="str">
        <f aca="false">IF(G524="","",IF(H524="Yes",G524*I524,0))</f>
        <v/>
      </c>
      <c r="K524" s="25" t="str">
        <f aca="false">IF(OR(C524="",G524=""),"",G524*IFERROR(INDEX(Employees!$F$4:$F$43,MATCH(C524,Employees!$B$4:$B$43,0)),0))</f>
        <v/>
      </c>
      <c r="L524" s="28"/>
    </row>
    <row r="525" customFormat="false" ht="15" hidden="false" customHeight="false" outlineLevel="0" collapsed="false">
      <c r="A525" s="26"/>
      <c r="B525" s="27" t="str">
        <f aca="false">IF(A525="","",A525+7-WEEKDAY(A525,1)+1)</f>
        <v/>
      </c>
      <c r="C525" s="28"/>
      <c r="D525" s="29"/>
      <c r="E525" s="28"/>
      <c r="F525" s="28"/>
      <c r="G525" s="30"/>
      <c r="H525" s="31" t="str">
        <f aca="false">IF(E525="","",IFERROR(INDEX(Lists!$C$2:$C$86,MATCH(E525,Lists!$A$2:$A$86,0)),"?"))</f>
        <v/>
      </c>
      <c r="I525" s="32" t="str">
        <f aca="false">IF(OR(C525="",E525=""),"",IF(H525="Yes",IFERROR(INDEX(Employees!$E$4:$E$43,MATCH(C525,Employees!$B$4:$B$43,0)),0),0))</f>
        <v/>
      </c>
      <c r="J525" s="33" t="str">
        <f aca="false">IF(G525="","",IF(H525="Yes",G525*I525,0))</f>
        <v/>
      </c>
      <c r="K525" s="33" t="str">
        <f aca="false">IF(OR(C525="",G525=""),"",G525*IFERROR(INDEX(Employees!$F$4:$F$43,MATCH(C525,Employees!$B$4:$B$43,0)),0))</f>
        <v/>
      </c>
      <c r="L525" s="28"/>
    </row>
    <row r="526" customFormat="false" ht="15" hidden="false" customHeight="false" outlineLevel="0" collapsed="false">
      <c r="A526" s="26"/>
      <c r="B526" s="19" t="str">
        <f aca="false">IF(A526="","",A526+7-WEEKDAY(A526,1)+1)</f>
        <v/>
      </c>
      <c r="C526" s="28"/>
      <c r="D526" s="29"/>
      <c r="E526" s="28"/>
      <c r="F526" s="28"/>
      <c r="G526" s="30"/>
      <c r="H526" s="23" t="str">
        <f aca="false">IF(E526="","",IFERROR(INDEX(Lists!$C$2:$C$86,MATCH(E526,Lists!$A$2:$A$86,0)),"?"))</f>
        <v/>
      </c>
      <c r="I526" s="24" t="str">
        <f aca="false">IF(OR(C526="",E526=""),"",IF(H526="Yes",IFERROR(INDEX(Employees!$E$4:$E$43,MATCH(C526,Employees!$B$4:$B$43,0)),0),0))</f>
        <v/>
      </c>
      <c r="J526" s="25" t="str">
        <f aca="false">IF(G526="","",IF(H526="Yes",G526*I526,0))</f>
        <v/>
      </c>
      <c r="K526" s="25" t="str">
        <f aca="false">IF(OR(C526="",G526=""),"",G526*IFERROR(INDEX(Employees!$F$4:$F$43,MATCH(C526,Employees!$B$4:$B$43,0)),0))</f>
        <v/>
      </c>
      <c r="L526" s="28"/>
    </row>
    <row r="527" customFormat="false" ht="15" hidden="false" customHeight="false" outlineLevel="0" collapsed="false">
      <c r="A527" s="26"/>
      <c r="B527" s="27" t="str">
        <f aca="false">IF(A527="","",A527+7-WEEKDAY(A527,1)+1)</f>
        <v/>
      </c>
      <c r="C527" s="28"/>
      <c r="D527" s="29"/>
      <c r="E527" s="28"/>
      <c r="F527" s="28"/>
      <c r="G527" s="30"/>
      <c r="H527" s="31" t="str">
        <f aca="false">IF(E527="","",IFERROR(INDEX(Lists!$C$2:$C$86,MATCH(E527,Lists!$A$2:$A$86,0)),"?"))</f>
        <v/>
      </c>
      <c r="I527" s="32" t="str">
        <f aca="false">IF(OR(C527="",E527=""),"",IF(H527="Yes",IFERROR(INDEX(Employees!$E$4:$E$43,MATCH(C527,Employees!$B$4:$B$43,0)),0),0))</f>
        <v/>
      </c>
      <c r="J527" s="33" t="str">
        <f aca="false">IF(G527="","",IF(H527="Yes",G527*I527,0))</f>
        <v/>
      </c>
      <c r="K527" s="33" t="str">
        <f aca="false">IF(OR(C527="",G527=""),"",G527*IFERROR(INDEX(Employees!$F$4:$F$43,MATCH(C527,Employees!$B$4:$B$43,0)),0))</f>
        <v/>
      </c>
      <c r="L527" s="28"/>
    </row>
    <row r="528" customFormat="false" ht="15" hidden="false" customHeight="false" outlineLevel="0" collapsed="false">
      <c r="A528" s="26"/>
      <c r="B528" s="19" t="str">
        <f aca="false">IF(A528="","",A528+7-WEEKDAY(A528,1)+1)</f>
        <v/>
      </c>
      <c r="C528" s="28"/>
      <c r="D528" s="29"/>
      <c r="E528" s="28"/>
      <c r="F528" s="28"/>
      <c r="G528" s="30"/>
      <c r="H528" s="23" t="str">
        <f aca="false">IF(E528="","",IFERROR(INDEX(Lists!$C$2:$C$86,MATCH(E528,Lists!$A$2:$A$86,0)),"?"))</f>
        <v/>
      </c>
      <c r="I528" s="24" t="str">
        <f aca="false">IF(OR(C528="",E528=""),"",IF(H528="Yes",IFERROR(INDEX(Employees!$E$4:$E$43,MATCH(C528,Employees!$B$4:$B$43,0)),0),0))</f>
        <v/>
      </c>
      <c r="J528" s="25" t="str">
        <f aca="false">IF(G528="","",IF(H528="Yes",G528*I528,0))</f>
        <v/>
      </c>
      <c r="K528" s="25" t="str">
        <f aca="false">IF(OR(C528="",G528=""),"",G528*IFERROR(INDEX(Employees!$F$4:$F$43,MATCH(C528,Employees!$B$4:$B$43,0)),0))</f>
        <v/>
      </c>
      <c r="L528" s="28"/>
    </row>
    <row r="529" customFormat="false" ht="15" hidden="false" customHeight="false" outlineLevel="0" collapsed="false">
      <c r="A529" s="26"/>
      <c r="B529" s="27" t="str">
        <f aca="false">IF(A529="","",A529+7-WEEKDAY(A529,1)+1)</f>
        <v/>
      </c>
      <c r="C529" s="28"/>
      <c r="D529" s="29"/>
      <c r="E529" s="28"/>
      <c r="F529" s="28"/>
      <c r="G529" s="30"/>
      <c r="H529" s="31" t="str">
        <f aca="false">IF(E529="","",IFERROR(INDEX(Lists!$C$2:$C$86,MATCH(E529,Lists!$A$2:$A$86,0)),"?"))</f>
        <v/>
      </c>
      <c r="I529" s="32" t="str">
        <f aca="false">IF(OR(C529="",E529=""),"",IF(H529="Yes",IFERROR(INDEX(Employees!$E$4:$E$43,MATCH(C529,Employees!$B$4:$B$43,0)),0),0))</f>
        <v/>
      </c>
      <c r="J529" s="33" t="str">
        <f aca="false">IF(G529="","",IF(H529="Yes",G529*I529,0))</f>
        <v/>
      </c>
      <c r="K529" s="33" t="str">
        <f aca="false">IF(OR(C529="",G529=""),"",G529*IFERROR(INDEX(Employees!$F$4:$F$43,MATCH(C529,Employees!$B$4:$B$43,0)),0))</f>
        <v/>
      </c>
      <c r="L529" s="28"/>
    </row>
    <row r="530" customFormat="false" ht="15" hidden="false" customHeight="false" outlineLevel="0" collapsed="false">
      <c r="A530" s="26"/>
      <c r="B530" s="19" t="str">
        <f aca="false">IF(A530="","",A530+7-WEEKDAY(A530,1)+1)</f>
        <v/>
      </c>
      <c r="C530" s="28"/>
      <c r="D530" s="29"/>
      <c r="E530" s="28"/>
      <c r="F530" s="28"/>
      <c r="G530" s="30"/>
      <c r="H530" s="23" t="str">
        <f aca="false">IF(E530="","",IFERROR(INDEX(Lists!$C$2:$C$86,MATCH(E530,Lists!$A$2:$A$86,0)),"?"))</f>
        <v/>
      </c>
      <c r="I530" s="24" t="str">
        <f aca="false">IF(OR(C530="",E530=""),"",IF(H530="Yes",IFERROR(INDEX(Employees!$E$4:$E$43,MATCH(C530,Employees!$B$4:$B$43,0)),0),0))</f>
        <v/>
      </c>
      <c r="J530" s="25" t="str">
        <f aca="false">IF(G530="","",IF(H530="Yes",G530*I530,0))</f>
        <v/>
      </c>
      <c r="K530" s="25" t="str">
        <f aca="false">IF(OR(C530="",G530=""),"",G530*IFERROR(INDEX(Employees!$F$4:$F$43,MATCH(C530,Employees!$B$4:$B$43,0)),0))</f>
        <v/>
      </c>
      <c r="L530" s="28"/>
    </row>
    <row r="531" customFormat="false" ht="15" hidden="false" customHeight="false" outlineLevel="0" collapsed="false">
      <c r="A531" s="26"/>
      <c r="B531" s="27" t="str">
        <f aca="false">IF(A531="","",A531+7-WEEKDAY(A531,1)+1)</f>
        <v/>
      </c>
      <c r="C531" s="28"/>
      <c r="D531" s="29"/>
      <c r="E531" s="28"/>
      <c r="F531" s="28"/>
      <c r="G531" s="30"/>
      <c r="H531" s="31" t="str">
        <f aca="false">IF(E531="","",IFERROR(INDEX(Lists!$C$2:$C$86,MATCH(E531,Lists!$A$2:$A$86,0)),"?"))</f>
        <v/>
      </c>
      <c r="I531" s="32" t="str">
        <f aca="false">IF(OR(C531="",E531=""),"",IF(H531="Yes",IFERROR(INDEX(Employees!$E$4:$E$43,MATCH(C531,Employees!$B$4:$B$43,0)),0),0))</f>
        <v/>
      </c>
      <c r="J531" s="33" t="str">
        <f aca="false">IF(G531="","",IF(H531="Yes",G531*I531,0))</f>
        <v/>
      </c>
      <c r="K531" s="33" t="str">
        <f aca="false">IF(OR(C531="",G531=""),"",G531*IFERROR(INDEX(Employees!$F$4:$F$43,MATCH(C531,Employees!$B$4:$B$43,0)),0))</f>
        <v/>
      </c>
      <c r="L531" s="28"/>
    </row>
    <row r="532" customFormat="false" ht="15" hidden="false" customHeight="false" outlineLevel="0" collapsed="false">
      <c r="A532" s="26"/>
      <c r="B532" s="19" t="str">
        <f aca="false">IF(A532="","",A532+7-WEEKDAY(A532,1)+1)</f>
        <v/>
      </c>
      <c r="C532" s="28"/>
      <c r="D532" s="29"/>
      <c r="E532" s="28"/>
      <c r="F532" s="28"/>
      <c r="G532" s="30"/>
      <c r="H532" s="23" t="str">
        <f aca="false">IF(E532="","",IFERROR(INDEX(Lists!$C$2:$C$86,MATCH(E532,Lists!$A$2:$A$86,0)),"?"))</f>
        <v/>
      </c>
      <c r="I532" s="24" t="str">
        <f aca="false">IF(OR(C532="",E532=""),"",IF(H532="Yes",IFERROR(INDEX(Employees!$E$4:$E$43,MATCH(C532,Employees!$B$4:$B$43,0)),0),0))</f>
        <v/>
      </c>
      <c r="J532" s="25" t="str">
        <f aca="false">IF(G532="","",IF(H532="Yes",G532*I532,0))</f>
        <v/>
      </c>
      <c r="K532" s="25" t="str">
        <f aca="false">IF(OR(C532="",G532=""),"",G532*IFERROR(INDEX(Employees!$F$4:$F$43,MATCH(C532,Employees!$B$4:$B$43,0)),0))</f>
        <v/>
      </c>
      <c r="L532" s="28"/>
    </row>
    <row r="533" customFormat="false" ht="15" hidden="false" customHeight="false" outlineLevel="0" collapsed="false">
      <c r="A533" s="26"/>
      <c r="B533" s="27" t="str">
        <f aca="false">IF(A533="","",A533+7-WEEKDAY(A533,1)+1)</f>
        <v/>
      </c>
      <c r="C533" s="28"/>
      <c r="D533" s="29"/>
      <c r="E533" s="28"/>
      <c r="F533" s="28"/>
      <c r="G533" s="30"/>
      <c r="H533" s="31" t="str">
        <f aca="false">IF(E533="","",IFERROR(INDEX(Lists!$C$2:$C$86,MATCH(E533,Lists!$A$2:$A$86,0)),"?"))</f>
        <v/>
      </c>
      <c r="I533" s="32" t="str">
        <f aca="false">IF(OR(C533="",E533=""),"",IF(H533="Yes",IFERROR(INDEX(Employees!$E$4:$E$43,MATCH(C533,Employees!$B$4:$B$43,0)),0),0))</f>
        <v/>
      </c>
      <c r="J533" s="33" t="str">
        <f aca="false">IF(G533="","",IF(H533="Yes",G533*I533,0))</f>
        <v/>
      </c>
      <c r="K533" s="33" t="str">
        <f aca="false">IF(OR(C533="",G533=""),"",G533*IFERROR(INDEX(Employees!$F$4:$F$43,MATCH(C533,Employees!$B$4:$B$43,0)),0))</f>
        <v/>
      </c>
      <c r="L533" s="28"/>
    </row>
    <row r="534" customFormat="false" ht="15" hidden="false" customHeight="false" outlineLevel="0" collapsed="false">
      <c r="A534" s="26"/>
      <c r="B534" s="19" t="str">
        <f aca="false">IF(A534="","",A534+7-WEEKDAY(A534,1)+1)</f>
        <v/>
      </c>
      <c r="C534" s="28"/>
      <c r="D534" s="29"/>
      <c r="E534" s="28"/>
      <c r="F534" s="28"/>
      <c r="G534" s="30"/>
      <c r="H534" s="23" t="str">
        <f aca="false">IF(E534="","",IFERROR(INDEX(Lists!$C$2:$C$86,MATCH(E534,Lists!$A$2:$A$86,0)),"?"))</f>
        <v/>
      </c>
      <c r="I534" s="24" t="str">
        <f aca="false">IF(OR(C534="",E534=""),"",IF(H534="Yes",IFERROR(INDEX(Employees!$E$4:$E$43,MATCH(C534,Employees!$B$4:$B$43,0)),0),0))</f>
        <v/>
      </c>
      <c r="J534" s="25" t="str">
        <f aca="false">IF(G534="","",IF(H534="Yes",G534*I534,0))</f>
        <v/>
      </c>
      <c r="K534" s="25" t="str">
        <f aca="false">IF(OR(C534="",G534=""),"",G534*IFERROR(INDEX(Employees!$F$4:$F$43,MATCH(C534,Employees!$B$4:$B$43,0)),0))</f>
        <v/>
      </c>
      <c r="L534" s="28"/>
    </row>
    <row r="535" customFormat="false" ht="15" hidden="false" customHeight="false" outlineLevel="0" collapsed="false">
      <c r="A535" s="26"/>
      <c r="B535" s="27" t="str">
        <f aca="false">IF(A535="","",A535+7-WEEKDAY(A535,1)+1)</f>
        <v/>
      </c>
      <c r="C535" s="28"/>
      <c r="D535" s="29"/>
      <c r="E535" s="28"/>
      <c r="F535" s="28"/>
      <c r="G535" s="30"/>
      <c r="H535" s="31" t="str">
        <f aca="false">IF(E535="","",IFERROR(INDEX(Lists!$C$2:$C$86,MATCH(E535,Lists!$A$2:$A$86,0)),"?"))</f>
        <v/>
      </c>
      <c r="I535" s="32" t="str">
        <f aca="false">IF(OR(C535="",E535=""),"",IF(H535="Yes",IFERROR(INDEX(Employees!$E$4:$E$43,MATCH(C535,Employees!$B$4:$B$43,0)),0),0))</f>
        <v/>
      </c>
      <c r="J535" s="33" t="str">
        <f aca="false">IF(G535="","",IF(H535="Yes",G535*I535,0))</f>
        <v/>
      </c>
      <c r="K535" s="33" t="str">
        <f aca="false">IF(OR(C535="",G535=""),"",G535*IFERROR(INDEX(Employees!$F$4:$F$43,MATCH(C535,Employees!$B$4:$B$43,0)),0))</f>
        <v/>
      </c>
      <c r="L535" s="28"/>
    </row>
    <row r="536" customFormat="false" ht="15" hidden="false" customHeight="false" outlineLevel="0" collapsed="false">
      <c r="A536" s="26"/>
      <c r="B536" s="19" t="str">
        <f aca="false">IF(A536="","",A536+7-WEEKDAY(A536,1)+1)</f>
        <v/>
      </c>
      <c r="C536" s="28"/>
      <c r="D536" s="29"/>
      <c r="E536" s="28"/>
      <c r="F536" s="28"/>
      <c r="G536" s="30"/>
      <c r="H536" s="23" t="str">
        <f aca="false">IF(E536="","",IFERROR(INDEX(Lists!$C$2:$C$86,MATCH(E536,Lists!$A$2:$A$86,0)),"?"))</f>
        <v/>
      </c>
      <c r="I536" s="24" t="str">
        <f aca="false">IF(OR(C536="",E536=""),"",IF(H536="Yes",IFERROR(INDEX(Employees!$E$4:$E$43,MATCH(C536,Employees!$B$4:$B$43,0)),0),0))</f>
        <v/>
      </c>
      <c r="J536" s="25" t="str">
        <f aca="false">IF(G536="","",IF(H536="Yes",G536*I536,0))</f>
        <v/>
      </c>
      <c r="K536" s="25" t="str">
        <f aca="false">IF(OR(C536="",G536=""),"",G536*IFERROR(INDEX(Employees!$F$4:$F$43,MATCH(C536,Employees!$B$4:$B$43,0)),0))</f>
        <v/>
      </c>
      <c r="L536" s="28"/>
    </row>
    <row r="537" customFormat="false" ht="15" hidden="false" customHeight="false" outlineLevel="0" collapsed="false">
      <c r="A537" s="26"/>
      <c r="B537" s="27" t="str">
        <f aca="false">IF(A537="","",A537+7-WEEKDAY(A537,1)+1)</f>
        <v/>
      </c>
      <c r="C537" s="28"/>
      <c r="D537" s="29"/>
      <c r="E537" s="28"/>
      <c r="F537" s="28"/>
      <c r="G537" s="30"/>
      <c r="H537" s="31" t="str">
        <f aca="false">IF(E537="","",IFERROR(INDEX(Lists!$C$2:$C$86,MATCH(E537,Lists!$A$2:$A$86,0)),"?"))</f>
        <v/>
      </c>
      <c r="I537" s="32" t="str">
        <f aca="false">IF(OR(C537="",E537=""),"",IF(H537="Yes",IFERROR(INDEX(Employees!$E$4:$E$43,MATCH(C537,Employees!$B$4:$B$43,0)),0),0))</f>
        <v/>
      </c>
      <c r="J537" s="33" t="str">
        <f aca="false">IF(G537="","",IF(H537="Yes",G537*I537,0))</f>
        <v/>
      </c>
      <c r="K537" s="33" t="str">
        <f aca="false">IF(OR(C537="",G537=""),"",G537*IFERROR(INDEX(Employees!$F$4:$F$43,MATCH(C537,Employees!$B$4:$B$43,0)),0))</f>
        <v/>
      </c>
      <c r="L537" s="28"/>
    </row>
    <row r="538" customFormat="false" ht="15" hidden="false" customHeight="false" outlineLevel="0" collapsed="false">
      <c r="A538" s="26"/>
      <c r="B538" s="19" t="str">
        <f aca="false">IF(A538="","",A538+7-WEEKDAY(A538,1)+1)</f>
        <v/>
      </c>
      <c r="C538" s="28"/>
      <c r="D538" s="29"/>
      <c r="E538" s="28"/>
      <c r="F538" s="28"/>
      <c r="G538" s="30"/>
      <c r="H538" s="23" t="str">
        <f aca="false">IF(E538="","",IFERROR(INDEX(Lists!$C$2:$C$86,MATCH(E538,Lists!$A$2:$A$86,0)),"?"))</f>
        <v/>
      </c>
      <c r="I538" s="24" t="str">
        <f aca="false">IF(OR(C538="",E538=""),"",IF(H538="Yes",IFERROR(INDEX(Employees!$E$4:$E$43,MATCH(C538,Employees!$B$4:$B$43,0)),0),0))</f>
        <v/>
      </c>
      <c r="J538" s="25" t="str">
        <f aca="false">IF(G538="","",IF(H538="Yes",G538*I538,0))</f>
        <v/>
      </c>
      <c r="K538" s="25" t="str">
        <f aca="false">IF(OR(C538="",G538=""),"",G538*IFERROR(INDEX(Employees!$F$4:$F$43,MATCH(C538,Employees!$B$4:$B$43,0)),0))</f>
        <v/>
      </c>
      <c r="L538" s="28"/>
    </row>
    <row r="539" customFormat="false" ht="15" hidden="false" customHeight="false" outlineLevel="0" collapsed="false">
      <c r="A539" s="26"/>
      <c r="B539" s="27" t="str">
        <f aca="false">IF(A539="","",A539+7-WEEKDAY(A539,1)+1)</f>
        <v/>
      </c>
      <c r="C539" s="28"/>
      <c r="D539" s="29"/>
      <c r="E539" s="28"/>
      <c r="F539" s="28"/>
      <c r="G539" s="30"/>
      <c r="H539" s="31" t="str">
        <f aca="false">IF(E539="","",IFERROR(INDEX(Lists!$C$2:$C$86,MATCH(E539,Lists!$A$2:$A$86,0)),"?"))</f>
        <v/>
      </c>
      <c r="I539" s="32" t="str">
        <f aca="false">IF(OR(C539="",E539=""),"",IF(H539="Yes",IFERROR(INDEX(Employees!$E$4:$E$43,MATCH(C539,Employees!$B$4:$B$43,0)),0),0))</f>
        <v/>
      </c>
      <c r="J539" s="33" t="str">
        <f aca="false">IF(G539="","",IF(H539="Yes",G539*I539,0))</f>
        <v/>
      </c>
      <c r="K539" s="33" t="str">
        <f aca="false">IF(OR(C539="",G539=""),"",G539*IFERROR(INDEX(Employees!$F$4:$F$43,MATCH(C539,Employees!$B$4:$B$43,0)),0))</f>
        <v/>
      </c>
      <c r="L539" s="28"/>
    </row>
    <row r="540" customFormat="false" ht="15" hidden="false" customHeight="false" outlineLevel="0" collapsed="false">
      <c r="A540" s="26"/>
      <c r="B540" s="19" t="str">
        <f aca="false">IF(A540="","",A540+7-WEEKDAY(A540,1)+1)</f>
        <v/>
      </c>
      <c r="C540" s="28"/>
      <c r="D540" s="29"/>
      <c r="E540" s="28"/>
      <c r="F540" s="28"/>
      <c r="G540" s="30"/>
      <c r="H540" s="23" t="str">
        <f aca="false">IF(E540="","",IFERROR(INDEX(Lists!$C$2:$C$86,MATCH(E540,Lists!$A$2:$A$86,0)),"?"))</f>
        <v/>
      </c>
      <c r="I540" s="24" t="str">
        <f aca="false">IF(OR(C540="",E540=""),"",IF(H540="Yes",IFERROR(INDEX(Employees!$E$4:$E$43,MATCH(C540,Employees!$B$4:$B$43,0)),0),0))</f>
        <v/>
      </c>
      <c r="J540" s="25" t="str">
        <f aca="false">IF(G540="","",IF(H540="Yes",G540*I540,0))</f>
        <v/>
      </c>
      <c r="K540" s="25" t="str">
        <f aca="false">IF(OR(C540="",G540=""),"",G540*IFERROR(INDEX(Employees!$F$4:$F$43,MATCH(C540,Employees!$B$4:$B$43,0)),0))</f>
        <v/>
      </c>
      <c r="L540" s="28"/>
    </row>
    <row r="541" customFormat="false" ht="15" hidden="false" customHeight="false" outlineLevel="0" collapsed="false">
      <c r="A541" s="26"/>
      <c r="B541" s="27" t="str">
        <f aca="false">IF(A541="","",A541+7-WEEKDAY(A541,1)+1)</f>
        <v/>
      </c>
      <c r="C541" s="28"/>
      <c r="D541" s="29"/>
      <c r="E541" s="28"/>
      <c r="F541" s="28"/>
      <c r="G541" s="30"/>
      <c r="H541" s="31" t="str">
        <f aca="false">IF(E541="","",IFERROR(INDEX(Lists!$C$2:$C$86,MATCH(E541,Lists!$A$2:$A$86,0)),"?"))</f>
        <v/>
      </c>
      <c r="I541" s="32" t="str">
        <f aca="false">IF(OR(C541="",E541=""),"",IF(H541="Yes",IFERROR(INDEX(Employees!$E$4:$E$43,MATCH(C541,Employees!$B$4:$B$43,0)),0),0))</f>
        <v/>
      </c>
      <c r="J541" s="33" t="str">
        <f aca="false">IF(G541="","",IF(H541="Yes",G541*I541,0))</f>
        <v/>
      </c>
      <c r="K541" s="33" t="str">
        <f aca="false">IF(OR(C541="",G541=""),"",G541*IFERROR(INDEX(Employees!$F$4:$F$43,MATCH(C541,Employees!$B$4:$B$43,0)),0))</f>
        <v/>
      </c>
      <c r="L541" s="28"/>
    </row>
    <row r="542" customFormat="false" ht="15" hidden="false" customHeight="false" outlineLevel="0" collapsed="false">
      <c r="A542" s="26"/>
      <c r="B542" s="19" t="str">
        <f aca="false">IF(A542="","",A542+7-WEEKDAY(A542,1)+1)</f>
        <v/>
      </c>
      <c r="C542" s="28"/>
      <c r="D542" s="29"/>
      <c r="E542" s="28"/>
      <c r="F542" s="28"/>
      <c r="G542" s="30"/>
      <c r="H542" s="23" t="str">
        <f aca="false">IF(E542="","",IFERROR(INDEX(Lists!$C$2:$C$86,MATCH(E542,Lists!$A$2:$A$86,0)),"?"))</f>
        <v/>
      </c>
      <c r="I542" s="24" t="str">
        <f aca="false">IF(OR(C542="",E542=""),"",IF(H542="Yes",IFERROR(INDEX(Employees!$E$4:$E$43,MATCH(C542,Employees!$B$4:$B$43,0)),0),0))</f>
        <v/>
      </c>
      <c r="J542" s="25" t="str">
        <f aca="false">IF(G542="","",IF(H542="Yes",G542*I542,0))</f>
        <v/>
      </c>
      <c r="K542" s="25" t="str">
        <f aca="false">IF(OR(C542="",G542=""),"",G542*IFERROR(INDEX(Employees!$F$4:$F$43,MATCH(C542,Employees!$B$4:$B$43,0)),0))</f>
        <v/>
      </c>
      <c r="L542" s="28"/>
    </row>
    <row r="543" customFormat="false" ht="15" hidden="false" customHeight="false" outlineLevel="0" collapsed="false">
      <c r="A543" s="26"/>
      <c r="B543" s="27" t="str">
        <f aca="false">IF(A543="","",A543+7-WEEKDAY(A543,1)+1)</f>
        <v/>
      </c>
      <c r="C543" s="28"/>
      <c r="D543" s="29"/>
      <c r="E543" s="28"/>
      <c r="F543" s="28"/>
      <c r="G543" s="30"/>
      <c r="H543" s="31" t="str">
        <f aca="false">IF(E543="","",IFERROR(INDEX(Lists!$C$2:$C$86,MATCH(E543,Lists!$A$2:$A$86,0)),"?"))</f>
        <v/>
      </c>
      <c r="I543" s="32" t="str">
        <f aca="false">IF(OR(C543="",E543=""),"",IF(H543="Yes",IFERROR(INDEX(Employees!$E$4:$E$43,MATCH(C543,Employees!$B$4:$B$43,0)),0),0))</f>
        <v/>
      </c>
      <c r="J543" s="33" t="str">
        <f aca="false">IF(G543="","",IF(H543="Yes",G543*I543,0))</f>
        <v/>
      </c>
      <c r="K543" s="33" t="str">
        <f aca="false">IF(OR(C543="",G543=""),"",G543*IFERROR(INDEX(Employees!$F$4:$F$43,MATCH(C543,Employees!$B$4:$B$43,0)),0))</f>
        <v/>
      </c>
      <c r="L543" s="28"/>
    </row>
    <row r="544" customFormat="false" ht="15" hidden="false" customHeight="false" outlineLevel="0" collapsed="false">
      <c r="A544" s="26"/>
      <c r="B544" s="19" t="str">
        <f aca="false">IF(A544="","",A544+7-WEEKDAY(A544,1)+1)</f>
        <v/>
      </c>
      <c r="C544" s="28"/>
      <c r="D544" s="29"/>
      <c r="E544" s="28"/>
      <c r="F544" s="28"/>
      <c r="G544" s="30"/>
      <c r="H544" s="23" t="str">
        <f aca="false">IF(E544="","",IFERROR(INDEX(Lists!$C$2:$C$86,MATCH(E544,Lists!$A$2:$A$86,0)),"?"))</f>
        <v/>
      </c>
      <c r="I544" s="24" t="str">
        <f aca="false">IF(OR(C544="",E544=""),"",IF(H544="Yes",IFERROR(INDEX(Employees!$E$4:$E$43,MATCH(C544,Employees!$B$4:$B$43,0)),0),0))</f>
        <v/>
      </c>
      <c r="J544" s="25" t="str">
        <f aca="false">IF(G544="","",IF(H544="Yes",G544*I544,0))</f>
        <v/>
      </c>
      <c r="K544" s="25" t="str">
        <f aca="false">IF(OR(C544="",G544=""),"",G544*IFERROR(INDEX(Employees!$F$4:$F$43,MATCH(C544,Employees!$B$4:$B$43,0)),0))</f>
        <v/>
      </c>
      <c r="L544" s="28"/>
    </row>
    <row r="545" customFormat="false" ht="15" hidden="false" customHeight="false" outlineLevel="0" collapsed="false">
      <c r="A545" s="26"/>
      <c r="B545" s="27" t="str">
        <f aca="false">IF(A545="","",A545+7-WEEKDAY(A545,1)+1)</f>
        <v/>
      </c>
      <c r="C545" s="28"/>
      <c r="D545" s="29"/>
      <c r="E545" s="28"/>
      <c r="F545" s="28"/>
      <c r="G545" s="30"/>
      <c r="H545" s="31" t="str">
        <f aca="false">IF(E545="","",IFERROR(INDEX(Lists!$C$2:$C$86,MATCH(E545,Lists!$A$2:$A$86,0)),"?"))</f>
        <v/>
      </c>
      <c r="I545" s="32" t="str">
        <f aca="false">IF(OR(C545="",E545=""),"",IF(H545="Yes",IFERROR(INDEX(Employees!$E$4:$E$43,MATCH(C545,Employees!$B$4:$B$43,0)),0),0))</f>
        <v/>
      </c>
      <c r="J545" s="33" t="str">
        <f aca="false">IF(G545="","",IF(H545="Yes",G545*I545,0))</f>
        <v/>
      </c>
      <c r="K545" s="33" t="str">
        <f aca="false">IF(OR(C545="",G545=""),"",G545*IFERROR(INDEX(Employees!$F$4:$F$43,MATCH(C545,Employees!$B$4:$B$43,0)),0))</f>
        <v/>
      </c>
      <c r="L545" s="28"/>
    </row>
    <row r="546" customFormat="false" ht="15" hidden="false" customHeight="false" outlineLevel="0" collapsed="false">
      <c r="A546" s="26"/>
      <c r="B546" s="19" t="str">
        <f aca="false">IF(A546="","",A546+7-WEEKDAY(A546,1)+1)</f>
        <v/>
      </c>
      <c r="C546" s="28"/>
      <c r="D546" s="29"/>
      <c r="E546" s="28"/>
      <c r="F546" s="28"/>
      <c r="G546" s="30"/>
      <c r="H546" s="23" t="str">
        <f aca="false">IF(E546="","",IFERROR(INDEX(Lists!$C$2:$C$86,MATCH(E546,Lists!$A$2:$A$86,0)),"?"))</f>
        <v/>
      </c>
      <c r="I546" s="24" t="str">
        <f aca="false">IF(OR(C546="",E546=""),"",IF(H546="Yes",IFERROR(INDEX(Employees!$E$4:$E$43,MATCH(C546,Employees!$B$4:$B$43,0)),0),0))</f>
        <v/>
      </c>
      <c r="J546" s="25" t="str">
        <f aca="false">IF(G546="","",IF(H546="Yes",G546*I546,0))</f>
        <v/>
      </c>
      <c r="K546" s="25" t="str">
        <f aca="false">IF(OR(C546="",G546=""),"",G546*IFERROR(INDEX(Employees!$F$4:$F$43,MATCH(C546,Employees!$B$4:$B$43,0)),0))</f>
        <v/>
      </c>
      <c r="L546" s="28"/>
    </row>
    <row r="547" customFormat="false" ht="15" hidden="false" customHeight="false" outlineLevel="0" collapsed="false">
      <c r="A547" s="26"/>
      <c r="B547" s="27" t="str">
        <f aca="false">IF(A547="","",A547+7-WEEKDAY(A547,1)+1)</f>
        <v/>
      </c>
      <c r="C547" s="28"/>
      <c r="D547" s="29"/>
      <c r="E547" s="28"/>
      <c r="F547" s="28"/>
      <c r="G547" s="30"/>
      <c r="H547" s="31" t="str">
        <f aca="false">IF(E547="","",IFERROR(INDEX(Lists!$C$2:$C$86,MATCH(E547,Lists!$A$2:$A$86,0)),"?"))</f>
        <v/>
      </c>
      <c r="I547" s="32" t="str">
        <f aca="false">IF(OR(C547="",E547=""),"",IF(H547="Yes",IFERROR(INDEX(Employees!$E$4:$E$43,MATCH(C547,Employees!$B$4:$B$43,0)),0),0))</f>
        <v/>
      </c>
      <c r="J547" s="33" t="str">
        <f aca="false">IF(G547="","",IF(H547="Yes",G547*I547,0))</f>
        <v/>
      </c>
      <c r="K547" s="33" t="str">
        <f aca="false">IF(OR(C547="",G547=""),"",G547*IFERROR(INDEX(Employees!$F$4:$F$43,MATCH(C547,Employees!$B$4:$B$43,0)),0))</f>
        <v/>
      </c>
      <c r="L547" s="28"/>
    </row>
    <row r="548" customFormat="false" ht="15" hidden="false" customHeight="false" outlineLevel="0" collapsed="false">
      <c r="A548" s="26"/>
      <c r="B548" s="19" t="str">
        <f aca="false">IF(A548="","",A548+7-WEEKDAY(A548,1)+1)</f>
        <v/>
      </c>
      <c r="C548" s="28"/>
      <c r="D548" s="29"/>
      <c r="E548" s="28"/>
      <c r="F548" s="28"/>
      <c r="G548" s="30"/>
      <c r="H548" s="23" t="str">
        <f aca="false">IF(E548="","",IFERROR(INDEX(Lists!$C$2:$C$86,MATCH(E548,Lists!$A$2:$A$86,0)),"?"))</f>
        <v/>
      </c>
      <c r="I548" s="24" t="str">
        <f aca="false">IF(OR(C548="",E548=""),"",IF(H548="Yes",IFERROR(INDEX(Employees!$E$4:$E$43,MATCH(C548,Employees!$B$4:$B$43,0)),0),0))</f>
        <v/>
      </c>
      <c r="J548" s="25" t="str">
        <f aca="false">IF(G548="","",IF(H548="Yes",G548*I548,0))</f>
        <v/>
      </c>
      <c r="K548" s="25" t="str">
        <f aca="false">IF(OR(C548="",G548=""),"",G548*IFERROR(INDEX(Employees!$F$4:$F$43,MATCH(C548,Employees!$B$4:$B$43,0)),0))</f>
        <v/>
      </c>
      <c r="L548" s="28"/>
    </row>
    <row r="549" customFormat="false" ht="15" hidden="false" customHeight="false" outlineLevel="0" collapsed="false">
      <c r="A549" s="26"/>
      <c r="B549" s="27" t="str">
        <f aca="false">IF(A549="","",A549+7-WEEKDAY(A549,1)+1)</f>
        <v/>
      </c>
      <c r="C549" s="28"/>
      <c r="D549" s="29"/>
      <c r="E549" s="28"/>
      <c r="F549" s="28"/>
      <c r="G549" s="30"/>
      <c r="H549" s="31" t="str">
        <f aca="false">IF(E549="","",IFERROR(INDEX(Lists!$C$2:$C$86,MATCH(E549,Lists!$A$2:$A$86,0)),"?"))</f>
        <v/>
      </c>
      <c r="I549" s="32" t="str">
        <f aca="false">IF(OR(C549="",E549=""),"",IF(H549="Yes",IFERROR(INDEX(Employees!$E$4:$E$43,MATCH(C549,Employees!$B$4:$B$43,0)),0),0))</f>
        <v/>
      </c>
      <c r="J549" s="33" t="str">
        <f aca="false">IF(G549="","",IF(H549="Yes",G549*I549,0))</f>
        <v/>
      </c>
      <c r="K549" s="33" t="str">
        <f aca="false">IF(OR(C549="",G549=""),"",G549*IFERROR(INDEX(Employees!$F$4:$F$43,MATCH(C549,Employees!$B$4:$B$43,0)),0))</f>
        <v/>
      </c>
      <c r="L549" s="28"/>
    </row>
    <row r="550" customFormat="false" ht="15" hidden="false" customHeight="false" outlineLevel="0" collapsed="false">
      <c r="A550" s="26"/>
      <c r="B550" s="19" t="str">
        <f aca="false">IF(A550="","",A550+7-WEEKDAY(A550,1)+1)</f>
        <v/>
      </c>
      <c r="C550" s="28"/>
      <c r="D550" s="29"/>
      <c r="E550" s="28"/>
      <c r="F550" s="28"/>
      <c r="G550" s="30"/>
      <c r="H550" s="23" t="str">
        <f aca="false">IF(E550="","",IFERROR(INDEX(Lists!$C$2:$C$86,MATCH(E550,Lists!$A$2:$A$86,0)),"?"))</f>
        <v/>
      </c>
      <c r="I550" s="24" t="str">
        <f aca="false">IF(OR(C550="",E550=""),"",IF(H550="Yes",IFERROR(INDEX(Employees!$E$4:$E$43,MATCH(C550,Employees!$B$4:$B$43,0)),0),0))</f>
        <v/>
      </c>
      <c r="J550" s="25" t="str">
        <f aca="false">IF(G550="","",IF(H550="Yes",G550*I550,0))</f>
        <v/>
      </c>
      <c r="K550" s="25" t="str">
        <f aca="false">IF(OR(C550="",G550=""),"",G550*IFERROR(INDEX(Employees!$F$4:$F$43,MATCH(C550,Employees!$B$4:$B$43,0)),0))</f>
        <v/>
      </c>
      <c r="L550" s="28"/>
    </row>
    <row r="551" customFormat="false" ht="15" hidden="false" customHeight="false" outlineLevel="0" collapsed="false">
      <c r="A551" s="26"/>
      <c r="B551" s="27" t="str">
        <f aca="false">IF(A551="","",A551+7-WEEKDAY(A551,1)+1)</f>
        <v/>
      </c>
      <c r="C551" s="28"/>
      <c r="D551" s="29"/>
      <c r="E551" s="28"/>
      <c r="F551" s="28"/>
      <c r="G551" s="30"/>
      <c r="H551" s="31" t="str">
        <f aca="false">IF(E551="","",IFERROR(INDEX(Lists!$C$2:$C$86,MATCH(E551,Lists!$A$2:$A$86,0)),"?"))</f>
        <v/>
      </c>
      <c r="I551" s="32" t="str">
        <f aca="false">IF(OR(C551="",E551=""),"",IF(H551="Yes",IFERROR(INDEX(Employees!$E$4:$E$43,MATCH(C551,Employees!$B$4:$B$43,0)),0),0))</f>
        <v/>
      </c>
      <c r="J551" s="33" t="str">
        <f aca="false">IF(G551="","",IF(H551="Yes",G551*I551,0))</f>
        <v/>
      </c>
      <c r="K551" s="33" t="str">
        <f aca="false">IF(OR(C551="",G551=""),"",G551*IFERROR(INDEX(Employees!$F$4:$F$43,MATCH(C551,Employees!$B$4:$B$43,0)),0))</f>
        <v/>
      </c>
      <c r="L551" s="28"/>
    </row>
    <row r="552" customFormat="false" ht="15" hidden="false" customHeight="false" outlineLevel="0" collapsed="false">
      <c r="A552" s="26"/>
      <c r="B552" s="19" t="str">
        <f aca="false">IF(A552="","",A552+7-WEEKDAY(A552,1)+1)</f>
        <v/>
      </c>
      <c r="C552" s="28"/>
      <c r="D552" s="29"/>
      <c r="E552" s="28"/>
      <c r="F552" s="28"/>
      <c r="G552" s="30"/>
      <c r="H552" s="23" t="str">
        <f aca="false">IF(E552="","",IFERROR(INDEX(Lists!$C$2:$C$86,MATCH(E552,Lists!$A$2:$A$86,0)),"?"))</f>
        <v/>
      </c>
      <c r="I552" s="24" t="str">
        <f aca="false">IF(OR(C552="",E552=""),"",IF(H552="Yes",IFERROR(INDEX(Employees!$E$4:$E$43,MATCH(C552,Employees!$B$4:$B$43,0)),0),0))</f>
        <v/>
      </c>
      <c r="J552" s="25" t="str">
        <f aca="false">IF(G552="","",IF(H552="Yes",G552*I552,0))</f>
        <v/>
      </c>
      <c r="K552" s="25" t="str">
        <f aca="false">IF(OR(C552="",G552=""),"",G552*IFERROR(INDEX(Employees!$F$4:$F$43,MATCH(C552,Employees!$B$4:$B$43,0)),0))</f>
        <v/>
      </c>
      <c r="L552" s="28"/>
    </row>
    <row r="553" customFormat="false" ht="15" hidden="false" customHeight="false" outlineLevel="0" collapsed="false">
      <c r="A553" s="26"/>
      <c r="B553" s="27" t="str">
        <f aca="false">IF(A553="","",A553+7-WEEKDAY(A553,1)+1)</f>
        <v/>
      </c>
      <c r="C553" s="28"/>
      <c r="D553" s="29"/>
      <c r="E553" s="28"/>
      <c r="F553" s="28"/>
      <c r="G553" s="30"/>
      <c r="H553" s="31" t="str">
        <f aca="false">IF(E553="","",IFERROR(INDEX(Lists!$C$2:$C$86,MATCH(E553,Lists!$A$2:$A$86,0)),"?"))</f>
        <v/>
      </c>
      <c r="I553" s="32" t="str">
        <f aca="false">IF(OR(C553="",E553=""),"",IF(H553="Yes",IFERROR(INDEX(Employees!$E$4:$E$43,MATCH(C553,Employees!$B$4:$B$43,0)),0),0))</f>
        <v/>
      </c>
      <c r="J553" s="33" t="str">
        <f aca="false">IF(G553="","",IF(H553="Yes",G553*I553,0))</f>
        <v/>
      </c>
      <c r="K553" s="33" t="str">
        <f aca="false">IF(OR(C553="",G553=""),"",G553*IFERROR(INDEX(Employees!$F$4:$F$43,MATCH(C553,Employees!$B$4:$B$43,0)),0))</f>
        <v/>
      </c>
      <c r="L553" s="28"/>
    </row>
    <row r="554" customFormat="false" ht="15" hidden="false" customHeight="false" outlineLevel="0" collapsed="false">
      <c r="A554" s="26"/>
      <c r="B554" s="19" t="str">
        <f aca="false">IF(A554="","",A554+7-WEEKDAY(A554,1)+1)</f>
        <v/>
      </c>
      <c r="C554" s="28"/>
      <c r="D554" s="29"/>
      <c r="E554" s="28"/>
      <c r="F554" s="28"/>
      <c r="G554" s="30"/>
      <c r="H554" s="23" t="str">
        <f aca="false">IF(E554="","",IFERROR(INDEX(Lists!$C$2:$C$86,MATCH(E554,Lists!$A$2:$A$86,0)),"?"))</f>
        <v/>
      </c>
      <c r="I554" s="24" t="str">
        <f aca="false">IF(OR(C554="",E554=""),"",IF(H554="Yes",IFERROR(INDEX(Employees!$E$4:$E$43,MATCH(C554,Employees!$B$4:$B$43,0)),0),0))</f>
        <v/>
      </c>
      <c r="J554" s="25" t="str">
        <f aca="false">IF(G554="","",IF(H554="Yes",G554*I554,0))</f>
        <v/>
      </c>
      <c r="K554" s="25" t="str">
        <f aca="false">IF(OR(C554="",G554=""),"",G554*IFERROR(INDEX(Employees!$F$4:$F$43,MATCH(C554,Employees!$B$4:$B$43,0)),0))</f>
        <v/>
      </c>
      <c r="L554" s="28"/>
    </row>
    <row r="555" customFormat="false" ht="15" hidden="false" customHeight="false" outlineLevel="0" collapsed="false">
      <c r="A555" s="26"/>
      <c r="B555" s="27" t="str">
        <f aca="false">IF(A555="","",A555+7-WEEKDAY(A555,1)+1)</f>
        <v/>
      </c>
      <c r="C555" s="28"/>
      <c r="D555" s="29"/>
      <c r="E555" s="28"/>
      <c r="F555" s="28"/>
      <c r="G555" s="30"/>
      <c r="H555" s="31" t="str">
        <f aca="false">IF(E555="","",IFERROR(INDEX(Lists!$C$2:$C$86,MATCH(E555,Lists!$A$2:$A$86,0)),"?"))</f>
        <v/>
      </c>
      <c r="I555" s="32" t="str">
        <f aca="false">IF(OR(C555="",E555=""),"",IF(H555="Yes",IFERROR(INDEX(Employees!$E$4:$E$43,MATCH(C555,Employees!$B$4:$B$43,0)),0),0))</f>
        <v/>
      </c>
      <c r="J555" s="33" t="str">
        <f aca="false">IF(G555="","",IF(H555="Yes",G555*I555,0))</f>
        <v/>
      </c>
      <c r="K555" s="33" t="str">
        <f aca="false">IF(OR(C555="",G555=""),"",G555*IFERROR(INDEX(Employees!$F$4:$F$43,MATCH(C555,Employees!$B$4:$B$43,0)),0))</f>
        <v/>
      </c>
      <c r="L555" s="28"/>
    </row>
    <row r="556" customFormat="false" ht="15" hidden="false" customHeight="false" outlineLevel="0" collapsed="false">
      <c r="A556" s="26"/>
      <c r="B556" s="19" t="str">
        <f aca="false">IF(A556="","",A556+7-WEEKDAY(A556,1)+1)</f>
        <v/>
      </c>
      <c r="C556" s="28"/>
      <c r="D556" s="29"/>
      <c r="E556" s="28"/>
      <c r="F556" s="28"/>
      <c r="G556" s="30"/>
      <c r="H556" s="23" t="str">
        <f aca="false">IF(E556="","",IFERROR(INDEX(Lists!$C$2:$C$86,MATCH(E556,Lists!$A$2:$A$86,0)),"?"))</f>
        <v/>
      </c>
      <c r="I556" s="24" t="str">
        <f aca="false">IF(OR(C556="",E556=""),"",IF(H556="Yes",IFERROR(INDEX(Employees!$E$4:$E$43,MATCH(C556,Employees!$B$4:$B$43,0)),0),0))</f>
        <v/>
      </c>
      <c r="J556" s="25" t="str">
        <f aca="false">IF(G556="","",IF(H556="Yes",G556*I556,0))</f>
        <v/>
      </c>
      <c r="K556" s="25" t="str">
        <f aca="false">IF(OR(C556="",G556=""),"",G556*IFERROR(INDEX(Employees!$F$4:$F$43,MATCH(C556,Employees!$B$4:$B$43,0)),0))</f>
        <v/>
      </c>
      <c r="L556" s="28"/>
    </row>
    <row r="557" customFormat="false" ht="15" hidden="false" customHeight="false" outlineLevel="0" collapsed="false">
      <c r="A557" s="26"/>
      <c r="B557" s="27" t="str">
        <f aca="false">IF(A557="","",A557+7-WEEKDAY(A557,1)+1)</f>
        <v/>
      </c>
      <c r="C557" s="28"/>
      <c r="D557" s="29"/>
      <c r="E557" s="28"/>
      <c r="F557" s="28"/>
      <c r="G557" s="30"/>
      <c r="H557" s="31" t="str">
        <f aca="false">IF(E557="","",IFERROR(INDEX(Lists!$C$2:$C$86,MATCH(E557,Lists!$A$2:$A$86,0)),"?"))</f>
        <v/>
      </c>
      <c r="I557" s="32" t="str">
        <f aca="false">IF(OR(C557="",E557=""),"",IF(H557="Yes",IFERROR(INDEX(Employees!$E$4:$E$43,MATCH(C557,Employees!$B$4:$B$43,0)),0),0))</f>
        <v/>
      </c>
      <c r="J557" s="33" t="str">
        <f aca="false">IF(G557="","",IF(H557="Yes",G557*I557,0))</f>
        <v/>
      </c>
      <c r="K557" s="33" t="str">
        <f aca="false">IF(OR(C557="",G557=""),"",G557*IFERROR(INDEX(Employees!$F$4:$F$43,MATCH(C557,Employees!$B$4:$B$43,0)),0))</f>
        <v/>
      </c>
      <c r="L557" s="28"/>
    </row>
    <row r="558" customFormat="false" ht="15" hidden="false" customHeight="false" outlineLevel="0" collapsed="false">
      <c r="A558" s="26"/>
      <c r="B558" s="19" t="str">
        <f aca="false">IF(A558="","",A558+7-WEEKDAY(A558,1)+1)</f>
        <v/>
      </c>
      <c r="C558" s="28"/>
      <c r="D558" s="29"/>
      <c r="E558" s="28"/>
      <c r="F558" s="28"/>
      <c r="G558" s="30"/>
      <c r="H558" s="23" t="str">
        <f aca="false">IF(E558="","",IFERROR(INDEX(Lists!$C$2:$C$86,MATCH(E558,Lists!$A$2:$A$86,0)),"?"))</f>
        <v/>
      </c>
      <c r="I558" s="24" t="str">
        <f aca="false">IF(OR(C558="",E558=""),"",IF(H558="Yes",IFERROR(INDEX(Employees!$E$4:$E$43,MATCH(C558,Employees!$B$4:$B$43,0)),0),0))</f>
        <v/>
      </c>
      <c r="J558" s="25" t="str">
        <f aca="false">IF(G558="","",IF(H558="Yes",G558*I558,0))</f>
        <v/>
      </c>
      <c r="K558" s="25" t="str">
        <f aca="false">IF(OR(C558="",G558=""),"",G558*IFERROR(INDEX(Employees!$F$4:$F$43,MATCH(C558,Employees!$B$4:$B$43,0)),0))</f>
        <v/>
      </c>
      <c r="L558" s="28"/>
    </row>
    <row r="559" customFormat="false" ht="15" hidden="false" customHeight="false" outlineLevel="0" collapsed="false">
      <c r="A559" s="26"/>
      <c r="B559" s="27" t="str">
        <f aca="false">IF(A559="","",A559+7-WEEKDAY(A559,1)+1)</f>
        <v/>
      </c>
      <c r="C559" s="28"/>
      <c r="D559" s="29"/>
      <c r="E559" s="28"/>
      <c r="F559" s="28"/>
      <c r="G559" s="30"/>
      <c r="H559" s="31" t="str">
        <f aca="false">IF(E559="","",IFERROR(INDEX(Lists!$C$2:$C$86,MATCH(E559,Lists!$A$2:$A$86,0)),"?"))</f>
        <v/>
      </c>
      <c r="I559" s="32" t="str">
        <f aca="false">IF(OR(C559="",E559=""),"",IF(H559="Yes",IFERROR(INDEX(Employees!$E$4:$E$43,MATCH(C559,Employees!$B$4:$B$43,0)),0),0))</f>
        <v/>
      </c>
      <c r="J559" s="33" t="str">
        <f aca="false">IF(G559="","",IF(H559="Yes",G559*I559,0))</f>
        <v/>
      </c>
      <c r="K559" s="33" t="str">
        <f aca="false">IF(OR(C559="",G559=""),"",G559*IFERROR(INDEX(Employees!$F$4:$F$43,MATCH(C559,Employees!$B$4:$B$43,0)),0))</f>
        <v/>
      </c>
      <c r="L559" s="28"/>
    </row>
    <row r="560" customFormat="false" ht="15" hidden="false" customHeight="false" outlineLevel="0" collapsed="false">
      <c r="A560" s="26"/>
      <c r="B560" s="19" t="str">
        <f aca="false">IF(A560="","",A560+7-WEEKDAY(A560,1)+1)</f>
        <v/>
      </c>
      <c r="C560" s="28"/>
      <c r="D560" s="29"/>
      <c r="E560" s="28"/>
      <c r="F560" s="28"/>
      <c r="G560" s="30"/>
      <c r="H560" s="23" t="str">
        <f aca="false">IF(E560="","",IFERROR(INDEX(Lists!$C$2:$C$86,MATCH(E560,Lists!$A$2:$A$86,0)),"?"))</f>
        <v/>
      </c>
      <c r="I560" s="24" t="str">
        <f aca="false">IF(OR(C560="",E560=""),"",IF(H560="Yes",IFERROR(INDEX(Employees!$E$4:$E$43,MATCH(C560,Employees!$B$4:$B$43,0)),0),0))</f>
        <v/>
      </c>
      <c r="J560" s="25" t="str">
        <f aca="false">IF(G560="","",IF(H560="Yes",G560*I560,0))</f>
        <v/>
      </c>
      <c r="K560" s="25" t="str">
        <f aca="false">IF(OR(C560="",G560=""),"",G560*IFERROR(INDEX(Employees!$F$4:$F$43,MATCH(C560,Employees!$B$4:$B$43,0)),0))</f>
        <v/>
      </c>
      <c r="L560" s="28"/>
    </row>
    <row r="561" customFormat="false" ht="15" hidden="false" customHeight="false" outlineLevel="0" collapsed="false">
      <c r="A561" s="26"/>
      <c r="B561" s="27" t="str">
        <f aca="false">IF(A561="","",A561+7-WEEKDAY(A561,1)+1)</f>
        <v/>
      </c>
      <c r="C561" s="28"/>
      <c r="D561" s="29"/>
      <c r="E561" s="28"/>
      <c r="F561" s="28"/>
      <c r="G561" s="30"/>
      <c r="H561" s="31" t="str">
        <f aca="false">IF(E561="","",IFERROR(INDEX(Lists!$C$2:$C$86,MATCH(E561,Lists!$A$2:$A$86,0)),"?"))</f>
        <v/>
      </c>
      <c r="I561" s="32" t="str">
        <f aca="false">IF(OR(C561="",E561=""),"",IF(H561="Yes",IFERROR(INDEX(Employees!$E$4:$E$43,MATCH(C561,Employees!$B$4:$B$43,0)),0),0))</f>
        <v/>
      </c>
      <c r="J561" s="33" t="str">
        <f aca="false">IF(G561="","",IF(H561="Yes",G561*I561,0))</f>
        <v/>
      </c>
      <c r="K561" s="33" t="str">
        <f aca="false">IF(OR(C561="",G561=""),"",G561*IFERROR(INDEX(Employees!$F$4:$F$43,MATCH(C561,Employees!$B$4:$B$43,0)),0))</f>
        <v/>
      </c>
      <c r="L561" s="28"/>
    </row>
    <row r="562" customFormat="false" ht="15" hidden="false" customHeight="false" outlineLevel="0" collapsed="false">
      <c r="A562" s="26"/>
      <c r="B562" s="19" t="str">
        <f aca="false">IF(A562="","",A562+7-WEEKDAY(A562,1)+1)</f>
        <v/>
      </c>
      <c r="C562" s="28"/>
      <c r="D562" s="29"/>
      <c r="E562" s="28"/>
      <c r="F562" s="28"/>
      <c r="G562" s="30"/>
      <c r="H562" s="23" t="str">
        <f aca="false">IF(E562="","",IFERROR(INDEX(Lists!$C$2:$C$86,MATCH(E562,Lists!$A$2:$A$86,0)),"?"))</f>
        <v/>
      </c>
      <c r="I562" s="24" t="str">
        <f aca="false">IF(OR(C562="",E562=""),"",IF(H562="Yes",IFERROR(INDEX(Employees!$E$4:$E$43,MATCH(C562,Employees!$B$4:$B$43,0)),0),0))</f>
        <v/>
      </c>
      <c r="J562" s="25" t="str">
        <f aca="false">IF(G562="","",IF(H562="Yes",G562*I562,0))</f>
        <v/>
      </c>
      <c r="K562" s="25" t="str">
        <f aca="false">IF(OR(C562="",G562=""),"",G562*IFERROR(INDEX(Employees!$F$4:$F$43,MATCH(C562,Employees!$B$4:$B$43,0)),0))</f>
        <v/>
      </c>
      <c r="L562" s="28"/>
    </row>
    <row r="563" customFormat="false" ht="15" hidden="false" customHeight="false" outlineLevel="0" collapsed="false">
      <c r="A563" s="26"/>
      <c r="B563" s="27" t="str">
        <f aca="false">IF(A563="","",A563+7-WEEKDAY(A563,1)+1)</f>
        <v/>
      </c>
      <c r="C563" s="28"/>
      <c r="D563" s="29"/>
      <c r="E563" s="28"/>
      <c r="F563" s="28"/>
      <c r="G563" s="30"/>
      <c r="H563" s="31" t="str">
        <f aca="false">IF(E563="","",IFERROR(INDEX(Lists!$C$2:$C$86,MATCH(E563,Lists!$A$2:$A$86,0)),"?"))</f>
        <v/>
      </c>
      <c r="I563" s="32" t="str">
        <f aca="false">IF(OR(C563="",E563=""),"",IF(H563="Yes",IFERROR(INDEX(Employees!$E$4:$E$43,MATCH(C563,Employees!$B$4:$B$43,0)),0),0))</f>
        <v/>
      </c>
      <c r="J563" s="33" t="str">
        <f aca="false">IF(G563="","",IF(H563="Yes",G563*I563,0))</f>
        <v/>
      </c>
      <c r="K563" s="33" t="str">
        <f aca="false">IF(OR(C563="",G563=""),"",G563*IFERROR(INDEX(Employees!$F$4:$F$43,MATCH(C563,Employees!$B$4:$B$43,0)),0))</f>
        <v/>
      </c>
      <c r="L563" s="28"/>
    </row>
    <row r="564" customFormat="false" ht="15" hidden="false" customHeight="false" outlineLevel="0" collapsed="false">
      <c r="A564" s="26"/>
      <c r="B564" s="19" t="str">
        <f aca="false">IF(A564="","",A564+7-WEEKDAY(A564,1)+1)</f>
        <v/>
      </c>
      <c r="C564" s="28"/>
      <c r="D564" s="29"/>
      <c r="E564" s="28"/>
      <c r="F564" s="28"/>
      <c r="G564" s="30"/>
      <c r="H564" s="23" t="str">
        <f aca="false">IF(E564="","",IFERROR(INDEX(Lists!$C$2:$C$86,MATCH(E564,Lists!$A$2:$A$86,0)),"?"))</f>
        <v/>
      </c>
      <c r="I564" s="24" t="str">
        <f aca="false">IF(OR(C564="",E564=""),"",IF(H564="Yes",IFERROR(INDEX(Employees!$E$4:$E$43,MATCH(C564,Employees!$B$4:$B$43,0)),0),0))</f>
        <v/>
      </c>
      <c r="J564" s="25" t="str">
        <f aca="false">IF(G564="","",IF(H564="Yes",G564*I564,0))</f>
        <v/>
      </c>
      <c r="K564" s="25" t="str">
        <f aca="false">IF(OR(C564="",G564=""),"",G564*IFERROR(INDEX(Employees!$F$4:$F$43,MATCH(C564,Employees!$B$4:$B$43,0)),0))</f>
        <v/>
      </c>
      <c r="L564" s="28"/>
    </row>
    <row r="565" customFormat="false" ht="15" hidden="false" customHeight="false" outlineLevel="0" collapsed="false">
      <c r="A565" s="26"/>
      <c r="B565" s="27" t="str">
        <f aca="false">IF(A565="","",A565+7-WEEKDAY(A565,1)+1)</f>
        <v/>
      </c>
      <c r="C565" s="28"/>
      <c r="D565" s="29"/>
      <c r="E565" s="28"/>
      <c r="F565" s="28"/>
      <c r="G565" s="30"/>
      <c r="H565" s="31" t="str">
        <f aca="false">IF(E565="","",IFERROR(INDEX(Lists!$C$2:$C$86,MATCH(E565,Lists!$A$2:$A$86,0)),"?"))</f>
        <v/>
      </c>
      <c r="I565" s="32" t="str">
        <f aca="false">IF(OR(C565="",E565=""),"",IF(H565="Yes",IFERROR(INDEX(Employees!$E$4:$E$43,MATCH(C565,Employees!$B$4:$B$43,0)),0),0))</f>
        <v/>
      </c>
      <c r="J565" s="33" t="str">
        <f aca="false">IF(G565="","",IF(H565="Yes",G565*I565,0))</f>
        <v/>
      </c>
      <c r="K565" s="33" t="str">
        <f aca="false">IF(OR(C565="",G565=""),"",G565*IFERROR(INDEX(Employees!$F$4:$F$43,MATCH(C565,Employees!$B$4:$B$43,0)),0))</f>
        <v/>
      </c>
      <c r="L565" s="28"/>
    </row>
    <row r="566" customFormat="false" ht="15" hidden="false" customHeight="false" outlineLevel="0" collapsed="false">
      <c r="A566" s="26"/>
      <c r="B566" s="19" t="str">
        <f aca="false">IF(A566="","",A566+7-WEEKDAY(A566,1)+1)</f>
        <v/>
      </c>
      <c r="C566" s="28"/>
      <c r="D566" s="29"/>
      <c r="E566" s="28"/>
      <c r="F566" s="28"/>
      <c r="G566" s="30"/>
      <c r="H566" s="23" t="str">
        <f aca="false">IF(E566="","",IFERROR(INDEX(Lists!$C$2:$C$86,MATCH(E566,Lists!$A$2:$A$86,0)),"?"))</f>
        <v/>
      </c>
      <c r="I566" s="24" t="str">
        <f aca="false">IF(OR(C566="",E566=""),"",IF(H566="Yes",IFERROR(INDEX(Employees!$E$4:$E$43,MATCH(C566,Employees!$B$4:$B$43,0)),0),0))</f>
        <v/>
      </c>
      <c r="J566" s="25" t="str">
        <f aca="false">IF(G566="","",IF(H566="Yes",G566*I566,0))</f>
        <v/>
      </c>
      <c r="K566" s="25" t="str">
        <f aca="false">IF(OR(C566="",G566=""),"",G566*IFERROR(INDEX(Employees!$F$4:$F$43,MATCH(C566,Employees!$B$4:$B$43,0)),0))</f>
        <v/>
      </c>
      <c r="L566" s="28"/>
    </row>
    <row r="567" customFormat="false" ht="15" hidden="false" customHeight="false" outlineLevel="0" collapsed="false">
      <c r="A567" s="26"/>
      <c r="B567" s="27" t="str">
        <f aca="false">IF(A567="","",A567+7-WEEKDAY(A567,1)+1)</f>
        <v/>
      </c>
      <c r="C567" s="28"/>
      <c r="D567" s="29"/>
      <c r="E567" s="28"/>
      <c r="F567" s="28"/>
      <c r="G567" s="30"/>
      <c r="H567" s="31" t="str">
        <f aca="false">IF(E567="","",IFERROR(INDEX(Lists!$C$2:$C$86,MATCH(E567,Lists!$A$2:$A$86,0)),"?"))</f>
        <v/>
      </c>
      <c r="I567" s="32" t="str">
        <f aca="false">IF(OR(C567="",E567=""),"",IF(H567="Yes",IFERROR(INDEX(Employees!$E$4:$E$43,MATCH(C567,Employees!$B$4:$B$43,0)),0),0))</f>
        <v/>
      </c>
      <c r="J567" s="33" t="str">
        <f aca="false">IF(G567="","",IF(H567="Yes",G567*I567,0))</f>
        <v/>
      </c>
      <c r="K567" s="33" t="str">
        <f aca="false">IF(OR(C567="",G567=""),"",G567*IFERROR(INDEX(Employees!$F$4:$F$43,MATCH(C567,Employees!$B$4:$B$43,0)),0))</f>
        <v/>
      </c>
      <c r="L567" s="28"/>
    </row>
    <row r="568" customFormat="false" ht="15" hidden="false" customHeight="false" outlineLevel="0" collapsed="false">
      <c r="A568" s="26"/>
      <c r="B568" s="19" t="str">
        <f aca="false">IF(A568="","",A568+7-WEEKDAY(A568,1)+1)</f>
        <v/>
      </c>
      <c r="C568" s="28"/>
      <c r="D568" s="29"/>
      <c r="E568" s="28"/>
      <c r="F568" s="28"/>
      <c r="G568" s="30"/>
      <c r="H568" s="23" t="str">
        <f aca="false">IF(E568="","",IFERROR(INDEX(Lists!$C$2:$C$86,MATCH(E568,Lists!$A$2:$A$86,0)),"?"))</f>
        <v/>
      </c>
      <c r="I568" s="24" t="str">
        <f aca="false">IF(OR(C568="",E568=""),"",IF(H568="Yes",IFERROR(INDEX(Employees!$E$4:$E$43,MATCH(C568,Employees!$B$4:$B$43,0)),0),0))</f>
        <v/>
      </c>
      <c r="J568" s="25" t="str">
        <f aca="false">IF(G568="","",IF(H568="Yes",G568*I568,0))</f>
        <v/>
      </c>
      <c r="K568" s="25" t="str">
        <f aca="false">IF(OR(C568="",G568=""),"",G568*IFERROR(INDEX(Employees!$F$4:$F$43,MATCH(C568,Employees!$B$4:$B$43,0)),0))</f>
        <v/>
      </c>
      <c r="L568" s="28"/>
    </row>
    <row r="569" customFormat="false" ht="15" hidden="false" customHeight="false" outlineLevel="0" collapsed="false">
      <c r="A569" s="26"/>
      <c r="B569" s="27" t="str">
        <f aca="false">IF(A569="","",A569+7-WEEKDAY(A569,1)+1)</f>
        <v/>
      </c>
      <c r="C569" s="28"/>
      <c r="D569" s="29"/>
      <c r="E569" s="28"/>
      <c r="F569" s="28"/>
      <c r="G569" s="30"/>
      <c r="H569" s="31" t="str">
        <f aca="false">IF(E569="","",IFERROR(INDEX(Lists!$C$2:$C$86,MATCH(E569,Lists!$A$2:$A$86,0)),"?"))</f>
        <v/>
      </c>
      <c r="I569" s="32" t="str">
        <f aca="false">IF(OR(C569="",E569=""),"",IF(H569="Yes",IFERROR(INDEX(Employees!$E$4:$E$43,MATCH(C569,Employees!$B$4:$B$43,0)),0),0))</f>
        <v/>
      </c>
      <c r="J569" s="33" t="str">
        <f aca="false">IF(G569="","",IF(H569="Yes",G569*I569,0))</f>
        <v/>
      </c>
      <c r="K569" s="33" t="str">
        <f aca="false">IF(OR(C569="",G569=""),"",G569*IFERROR(INDEX(Employees!$F$4:$F$43,MATCH(C569,Employees!$B$4:$B$43,0)),0))</f>
        <v/>
      </c>
      <c r="L569" s="28"/>
    </row>
    <row r="570" customFormat="false" ht="15" hidden="false" customHeight="false" outlineLevel="0" collapsed="false">
      <c r="A570" s="26"/>
      <c r="B570" s="19" t="str">
        <f aca="false">IF(A570="","",A570+7-WEEKDAY(A570,1)+1)</f>
        <v/>
      </c>
      <c r="C570" s="28"/>
      <c r="D570" s="29"/>
      <c r="E570" s="28"/>
      <c r="F570" s="28"/>
      <c r="G570" s="30"/>
      <c r="H570" s="23" t="str">
        <f aca="false">IF(E570="","",IFERROR(INDEX(Lists!$C$2:$C$86,MATCH(E570,Lists!$A$2:$A$86,0)),"?"))</f>
        <v/>
      </c>
      <c r="I570" s="24" t="str">
        <f aca="false">IF(OR(C570="",E570=""),"",IF(H570="Yes",IFERROR(INDEX(Employees!$E$4:$E$43,MATCH(C570,Employees!$B$4:$B$43,0)),0),0))</f>
        <v/>
      </c>
      <c r="J570" s="25" t="str">
        <f aca="false">IF(G570="","",IF(H570="Yes",G570*I570,0))</f>
        <v/>
      </c>
      <c r="K570" s="25" t="str">
        <f aca="false">IF(OR(C570="",G570=""),"",G570*IFERROR(INDEX(Employees!$F$4:$F$43,MATCH(C570,Employees!$B$4:$B$43,0)),0))</f>
        <v/>
      </c>
      <c r="L570" s="28"/>
    </row>
    <row r="571" customFormat="false" ht="15" hidden="false" customHeight="false" outlineLevel="0" collapsed="false">
      <c r="A571" s="26"/>
      <c r="B571" s="27" t="str">
        <f aca="false">IF(A571="","",A571+7-WEEKDAY(A571,1)+1)</f>
        <v/>
      </c>
      <c r="C571" s="28"/>
      <c r="D571" s="29"/>
      <c r="E571" s="28"/>
      <c r="F571" s="28"/>
      <c r="G571" s="30"/>
      <c r="H571" s="31" t="str">
        <f aca="false">IF(E571="","",IFERROR(INDEX(Lists!$C$2:$C$86,MATCH(E571,Lists!$A$2:$A$86,0)),"?"))</f>
        <v/>
      </c>
      <c r="I571" s="32" t="str">
        <f aca="false">IF(OR(C571="",E571=""),"",IF(H571="Yes",IFERROR(INDEX(Employees!$E$4:$E$43,MATCH(C571,Employees!$B$4:$B$43,0)),0),0))</f>
        <v/>
      </c>
      <c r="J571" s="33" t="str">
        <f aca="false">IF(G571="","",IF(H571="Yes",G571*I571,0))</f>
        <v/>
      </c>
      <c r="K571" s="33" t="str">
        <f aca="false">IF(OR(C571="",G571=""),"",G571*IFERROR(INDEX(Employees!$F$4:$F$43,MATCH(C571,Employees!$B$4:$B$43,0)),0))</f>
        <v/>
      </c>
      <c r="L571" s="28"/>
    </row>
    <row r="572" customFormat="false" ht="15" hidden="false" customHeight="false" outlineLevel="0" collapsed="false">
      <c r="A572" s="26"/>
      <c r="B572" s="19" t="str">
        <f aca="false">IF(A572="","",A572+7-WEEKDAY(A572,1)+1)</f>
        <v/>
      </c>
      <c r="C572" s="28"/>
      <c r="D572" s="29"/>
      <c r="E572" s="28"/>
      <c r="F572" s="28"/>
      <c r="G572" s="30"/>
      <c r="H572" s="23" t="str">
        <f aca="false">IF(E572="","",IFERROR(INDEX(Lists!$C$2:$C$86,MATCH(E572,Lists!$A$2:$A$86,0)),"?"))</f>
        <v/>
      </c>
      <c r="I572" s="24" t="str">
        <f aca="false">IF(OR(C572="",E572=""),"",IF(H572="Yes",IFERROR(INDEX(Employees!$E$4:$E$43,MATCH(C572,Employees!$B$4:$B$43,0)),0),0))</f>
        <v/>
      </c>
      <c r="J572" s="25" t="str">
        <f aca="false">IF(G572="","",IF(H572="Yes",G572*I572,0))</f>
        <v/>
      </c>
      <c r="K572" s="25" t="str">
        <f aca="false">IF(OR(C572="",G572=""),"",G572*IFERROR(INDEX(Employees!$F$4:$F$43,MATCH(C572,Employees!$B$4:$B$43,0)),0))</f>
        <v/>
      </c>
      <c r="L572" s="28"/>
    </row>
    <row r="573" customFormat="false" ht="15" hidden="false" customHeight="false" outlineLevel="0" collapsed="false">
      <c r="A573" s="26"/>
      <c r="B573" s="27" t="str">
        <f aca="false">IF(A573="","",A573+7-WEEKDAY(A573,1)+1)</f>
        <v/>
      </c>
      <c r="C573" s="28"/>
      <c r="D573" s="29"/>
      <c r="E573" s="28"/>
      <c r="F573" s="28"/>
      <c r="G573" s="30"/>
      <c r="H573" s="31" t="str">
        <f aca="false">IF(E573="","",IFERROR(INDEX(Lists!$C$2:$C$86,MATCH(E573,Lists!$A$2:$A$86,0)),"?"))</f>
        <v/>
      </c>
      <c r="I573" s="32" t="str">
        <f aca="false">IF(OR(C573="",E573=""),"",IF(H573="Yes",IFERROR(INDEX(Employees!$E$4:$E$43,MATCH(C573,Employees!$B$4:$B$43,0)),0),0))</f>
        <v/>
      </c>
      <c r="J573" s="33" t="str">
        <f aca="false">IF(G573="","",IF(H573="Yes",G573*I573,0))</f>
        <v/>
      </c>
      <c r="K573" s="33" t="str">
        <f aca="false">IF(OR(C573="",G573=""),"",G573*IFERROR(INDEX(Employees!$F$4:$F$43,MATCH(C573,Employees!$B$4:$B$43,0)),0))</f>
        <v/>
      </c>
      <c r="L573" s="28"/>
    </row>
    <row r="574" customFormat="false" ht="15" hidden="false" customHeight="false" outlineLevel="0" collapsed="false">
      <c r="A574" s="26"/>
      <c r="B574" s="19" t="str">
        <f aca="false">IF(A574="","",A574+7-WEEKDAY(A574,1)+1)</f>
        <v/>
      </c>
      <c r="C574" s="28"/>
      <c r="D574" s="29"/>
      <c r="E574" s="28"/>
      <c r="F574" s="28"/>
      <c r="G574" s="30"/>
      <c r="H574" s="23" t="str">
        <f aca="false">IF(E574="","",IFERROR(INDEX(Lists!$C$2:$C$86,MATCH(E574,Lists!$A$2:$A$86,0)),"?"))</f>
        <v/>
      </c>
      <c r="I574" s="24" t="str">
        <f aca="false">IF(OR(C574="",E574=""),"",IF(H574="Yes",IFERROR(INDEX(Employees!$E$4:$E$43,MATCH(C574,Employees!$B$4:$B$43,0)),0),0))</f>
        <v/>
      </c>
      <c r="J574" s="25" t="str">
        <f aca="false">IF(G574="","",IF(H574="Yes",G574*I574,0))</f>
        <v/>
      </c>
      <c r="K574" s="25" t="str">
        <f aca="false">IF(OR(C574="",G574=""),"",G574*IFERROR(INDEX(Employees!$F$4:$F$43,MATCH(C574,Employees!$B$4:$B$43,0)),0))</f>
        <v/>
      </c>
      <c r="L574" s="28"/>
    </row>
    <row r="575" customFormat="false" ht="15" hidden="false" customHeight="false" outlineLevel="0" collapsed="false">
      <c r="A575" s="26"/>
      <c r="B575" s="27" t="str">
        <f aca="false">IF(A575="","",A575+7-WEEKDAY(A575,1)+1)</f>
        <v/>
      </c>
      <c r="C575" s="28"/>
      <c r="D575" s="29"/>
      <c r="E575" s="28"/>
      <c r="F575" s="28"/>
      <c r="G575" s="30"/>
      <c r="H575" s="31" t="str">
        <f aca="false">IF(E575="","",IFERROR(INDEX(Lists!$C$2:$C$86,MATCH(E575,Lists!$A$2:$A$86,0)),"?"))</f>
        <v/>
      </c>
      <c r="I575" s="32" t="str">
        <f aca="false">IF(OR(C575="",E575=""),"",IF(H575="Yes",IFERROR(INDEX(Employees!$E$4:$E$43,MATCH(C575,Employees!$B$4:$B$43,0)),0),0))</f>
        <v/>
      </c>
      <c r="J575" s="33" t="str">
        <f aca="false">IF(G575="","",IF(H575="Yes",G575*I575,0))</f>
        <v/>
      </c>
      <c r="K575" s="33" t="str">
        <f aca="false">IF(OR(C575="",G575=""),"",G575*IFERROR(INDEX(Employees!$F$4:$F$43,MATCH(C575,Employees!$B$4:$B$43,0)),0))</f>
        <v/>
      </c>
      <c r="L575" s="28"/>
    </row>
    <row r="576" customFormat="false" ht="15" hidden="false" customHeight="false" outlineLevel="0" collapsed="false">
      <c r="A576" s="26"/>
      <c r="B576" s="19" t="str">
        <f aca="false">IF(A576="","",A576+7-WEEKDAY(A576,1)+1)</f>
        <v/>
      </c>
      <c r="C576" s="28"/>
      <c r="D576" s="29"/>
      <c r="E576" s="28"/>
      <c r="F576" s="28"/>
      <c r="G576" s="30"/>
      <c r="H576" s="23" t="str">
        <f aca="false">IF(E576="","",IFERROR(INDEX(Lists!$C$2:$C$86,MATCH(E576,Lists!$A$2:$A$86,0)),"?"))</f>
        <v/>
      </c>
      <c r="I576" s="24" t="str">
        <f aca="false">IF(OR(C576="",E576=""),"",IF(H576="Yes",IFERROR(INDEX(Employees!$E$4:$E$43,MATCH(C576,Employees!$B$4:$B$43,0)),0),0))</f>
        <v/>
      </c>
      <c r="J576" s="25" t="str">
        <f aca="false">IF(G576="","",IF(H576="Yes",G576*I576,0))</f>
        <v/>
      </c>
      <c r="K576" s="25" t="str">
        <f aca="false">IF(OR(C576="",G576=""),"",G576*IFERROR(INDEX(Employees!$F$4:$F$43,MATCH(C576,Employees!$B$4:$B$43,0)),0))</f>
        <v/>
      </c>
      <c r="L576" s="28"/>
    </row>
    <row r="577" customFormat="false" ht="15" hidden="false" customHeight="false" outlineLevel="0" collapsed="false">
      <c r="A577" s="26"/>
      <c r="B577" s="27" t="str">
        <f aca="false">IF(A577="","",A577+7-WEEKDAY(A577,1)+1)</f>
        <v/>
      </c>
      <c r="C577" s="28"/>
      <c r="D577" s="29"/>
      <c r="E577" s="28"/>
      <c r="F577" s="28"/>
      <c r="G577" s="30"/>
      <c r="H577" s="31" t="str">
        <f aca="false">IF(E577="","",IFERROR(INDEX(Lists!$C$2:$C$86,MATCH(E577,Lists!$A$2:$A$86,0)),"?"))</f>
        <v/>
      </c>
      <c r="I577" s="32" t="str">
        <f aca="false">IF(OR(C577="",E577=""),"",IF(H577="Yes",IFERROR(INDEX(Employees!$E$4:$E$43,MATCH(C577,Employees!$B$4:$B$43,0)),0),0))</f>
        <v/>
      </c>
      <c r="J577" s="33" t="str">
        <f aca="false">IF(G577="","",IF(H577="Yes",G577*I577,0))</f>
        <v/>
      </c>
      <c r="K577" s="33" t="str">
        <f aca="false">IF(OR(C577="",G577=""),"",G577*IFERROR(INDEX(Employees!$F$4:$F$43,MATCH(C577,Employees!$B$4:$B$43,0)),0))</f>
        <v/>
      </c>
      <c r="L577" s="28"/>
    </row>
    <row r="578" customFormat="false" ht="15" hidden="false" customHeight="false" outlineLevel="0" collapsed="false">
      <c r="A578" s="26"/>
      <c r="B578" s="19" t="str">
        <f aca="false">IF(A578="","",A578+7-WEEKDAY(A578,1)+1)</f>
        <v/>
      </c>
      <c r="C578" s="28"/>
      <c r="D578" s="29"/>
      <c r="E578" s="28"/>
      <c r="F578" s="28"/>
      <c r="G578" s="30"/>
      <c r="H578" s="23" t="str">
        <f aca="false">IF(E578="","",IFERROR(INDEX(Lists!$C$2:$C$86,MATCH(E578,Lists!$A$2:$A$86,0)),"?"))</f>
        <v/>
      </c>
      <c r="I578" s="24" t="str">
        <f aca="false">IF(OR(C578="",E578=""),"",IF(H578="Yes",IFERROR(INDEX(Employees!$E$4:$E$43,MATCH(C578,Employees!$B$4:$B$43,0)),0),0))</f>
        <v/>
      </c>
      <c r="J578" s="25" t="str">
        <f aca="false">IF(G578="","",IF(H578="Yes",G578*I578,0))</f>
        <v/>
      </c>
      <c r="K578" s="25" t="str">
        <f aca="false">IF(OR(C578="",G578=""),"",G578*IFERROR(INDEX(Employees!$F$4:$F$43,MATCH(C578,Employees!$B$4:$B$43,0)),0))</f>
        <v/>
      </c>
      <c r="L578" s="28"/>
    </row>
    <row r="579" customFormat="false" ht="15" hidden="false" customHeight="false" outlineLevel="0" collapsed="false">
      <c r="A579" s="26"/>
      <c r="B579" s="27" t="str">
        <f aca="false">IF(A579="","",A579+7-WEEKDAY(A579,1)+1)</f>
        <v/>
      </c>
      <c r="C579" s="28"/>
      <c r="D579" s="29"/>
      <c r="E579" s="28"/>
      <c r="F579" s="28"/>
      <c r="G579" s="30"/>
      <c r="H579" s="31" t="str">
        <f aca="false">IF(E579="","",IFERROR(INDEX(Lists!$C$2:$C$86,MATCH(E579,Lists!$A$2:$A$86,0)),"?"))</f>
        <v/>
      </c>
      <c r="I579" s="32" t="str">
        <f aca="false">IF(OR(C579="",E579=""),"",IF(H579="Yes",IFERROR(INDEX(Employees!$E$4:$E$43,MATCH(C579,Employees!$B$4:$B$43,0)),0),0))</f>
        <v/>
      </c>
      <c r="J579" s="33" t="str">
        <f aca="false">IF(G579="","",IF(H579="Yes",G579*I579,0))</f>
        <v/>
      </c>
      <c r="K579" s="33" t="str">
        <f aca="false">IF(OR(C579="",G579=""),"",G579*IFERROR(INDEX(Employees!$F$4:$F$43,MATCH(C579,Employees!$B$4:$B$43,0)),0))</f>
        <v/>
      </c>
      <c r="L579" s="28"/>
    </row>
    <row r="580" customFormat="false" ht="15" hidden="false" customHeight="false" outlineLevel="0" collapsed="false">
      <c r="A580" s="26"/>
      <c r="B580" s="19" t="str">
        <f aca="false">IF(A580="","",A580+7-WEEKDAY(A580,1)+1)</f>
        <v/>
      </c>
      <c r="C580" s="28"/>
      <c r="D580" s="29"/>
      <c r="E580" s="28"/>
      <c r="F580" s="28"/>
      <c r="G580" s="30"/>
      <c r="H580" s="23" t="str">
        <f aca="false">IF(E580="","",IFERROR(INDEX(Lists!$C$2:$C$86,MATCH(E580,Lists!$A$2:$A$86,0)),"?"))</f>
        <v/>
      </c>
      <c r="I580" s="24" t="str">
        <f aca="false">IF(OR(C580="",E580=""),"",IF(H580="Yes",IFERROR(INDEX(Employees!$E$4:$E$43,MATCH(C580,Employees!$B$4:$B$43,0)),0),0))</f>
        <v/>
      </c>
      <c r="J580" s="25" t="str">
        <f aca="false">IF(G580="","",IF(H580="Yes",G580*I580,0))</f>
        <v/>
      </c>
      <c r="K580" s="25" t="str">
        <f aca="false">IF(OR(C580="",G580=""),"",G580*IFERROR(INDEX(Employees!$F$4:$F$43,MATCH(C580,Employees!$B$4:$B$43,0)),0))</f>
        <v/>
      </c>
      <c r="L580" s="28"/>
    </row>
    <row r="581" customFormat="false" ht="15" hidden="false" customHeight="false" outlineLevel="0" collapsed="false">
      <c r="A581" s="26"/>
      <c r="B581" s="27" t="str">
        <f aca="false">IF(A581="","",A581+7-WEEKDAY(A581,1)+1)</f>
        <v/>
      </c>
      <c r="C581" s="28"/>
      <c r="D581" s="29"/>
      <c r="E581" s="28"/>
      <c r="F581" s="28"/>
      <c r="G581" s="30"/>
      <c r="H581" s="31" t="str">
        <f aca="false">IF(E581="","",IFERROR(INDEX(Lists!$C$2:$C$86,MATCH(E581,Lists!$A$2:$A$86,0)),"?"))</f>
        <v/>
      </c>
      <c r="I581" s="32" t="str">
        <f aca="false">IF(OR(C581="",E581=""),"",IF(H581="Yes",IFERROR(INDEX(Employees!$E$4:$E$43,MATCH(C581,Employees!$B$4:$B$43,0)),0),0))</f>
        <v/>
      </c>
      <c r="J581" s="33" t="str">
        <f aca="false">IF(G581="","",IF(H581="Yes",G581*I581,0))</f>
        <v/>
      </c>
      <c r="K581" s="33" t="str">
        <f aca="false">IF(OR(C581="",G581=""),"",G581*IFERROR(INDEX(Employees!$F$4:$F$43,MATCH(C581,Employees!$B$4:$B$43,0)),0))</f>
        <v/>
      </c>
      <c r="L581" s="28"/>
    </row>
    <row r="582" customFormat="false" ht="15" hidden="false" customHeight="false" outlineLevel="0" collapsed="false">
      <c r="A582" s="26"/>
      <c r="B582" s="19" t="str">
        <f aca="false">IF(A582="","",A582+7-WEEKDAY(A582,1)+1)</f>
        <v/>
      </c>
      <c r="C582" s="28"/>
      <c r="D582" s="29"/>
      <c r="E582" s="28"/>
      <c r="F582" s="28"/>
      <c r="G582" s="30"/>
      <c r="H582" s="23" t="str">
        <f aca="false">IF(E582="","",IFERROR(INDEX(Lists!$C$2:$C$86,MATCH(E582,Lists!$A$2:$A$86,0)),"?"))</f>
        <v/>
      </c>
      <c r="I582" s="24" t="str">
        <f aca="false">IF(OR(C582="",E582=""),"",IF(H582="Yes",IFERROR(INDEX(Employees!$E$4:$E$43,MATCH(C582,Employees!$B$4:$B$43,0)),0),0))</f>
        <v/>
      </c>
      <c r="J582" s="25" t="str">
        <f aca="false">IF(G582="","",IF(H582="Yes",G582*I582,0))</f>
        <v/>
      </c>
      <c r="K582" s="25" t="str">
        <f aca="false">IF(OR(C582="",G582=""),"",G582*IFERROR(INDEX(Employees!$F$4:$F$43,MATCH(C582,Employees!$B$4:$B$43,0)),0))</f>
        <v/>
      </c>
      <c r="L582" s="28"/>
    </row>
    <row r="583" customFormat="false" ht="15" hidden="false" customHeight="false" outlineLevel="0" collapsed="false">
      <c r="A583" s="26"/>
      <c r="B583" s="27" t="str">
        <f aca="false">IF(A583="","",A583+7-WEEKDAY(A583,1)+1)</f>
        <v/>
      </c>
      <c r="C583" s="28"/>
      <c r="D583" s="29"/>
      <c r="E583" s="28"/>
      <c r="F583" s="28"/>
      <c r="G583" s="30"/>
      <c r="H583" s="31" t="str">
        <f aca="false">IF(E583="","",IFERROR(INDEX(Lists!$C$2:$C$86,MATCH(E583,Lists!$A$2:$A$86,0)),"?"))</f>
        <v/>
      </c>
      <c r="I583" s="32" t="str">
        <f aca="false">IF(OR(C583="",E583=""),"",IF(H583="Yes",IFERROR(INDEX(Employees!$E$4:$E$43,MATCH(C583,Employees!$B$4:$B$43,0)),0),0))</f>
        <v/>
      </c>
      <c r="J583" s="33" t="str">
        <f aca="false">IF(G583="","",IF(H583="Yes",G583*I583,0))</f>
        <v/>
      </c>
      <c r="K583" s="33" t="str">
        <f aca="false">IF(OR(C583="",G583=""),"",G583*IFERROR(INDEX(Employees!$F$4:$F$43,MATCH(C583,Employees!$B$4:$B$43,0)),0))</f>
        <v/>
      </c>
      <c r="L583" s="28"/>
    </row>
    <row r="584" customFormat="false" ht="15" hidden="false" customHeight="false" outlineLevel="0" collapsed="false">
      <c r="A584" s="26"/>
      <c r="B584" s="19" t="str">
        <f aca="false">IF(A584="","",A584+7-WEEKDAY(A584,1)+1)</f>
        <v/>
      </c>
      <c r="C584" s="28"/>
      <c r="D584" s="29"/>
      <c r="E584" s="28"/>
      <c r="F584" s="28"/>
      <c r="G584" s="30"/>
      <c r="H584" s="23" t="str">
        <f aca="false">IF(E584="","",IFERROR(INDEX(Lists!$C$2:$C$86,MATCH(E584,Lists!$A$2:$A$86,0)),"?"))</f>
        <v/>
      </c>
      <c r="I584" s="24" t="str">
        <f aca="false">IF(OR(C584="",E584=""),"",IF(H584="Yes",IFERROR(INDEX(Employees!$E$4:$E$43,MATCH(C584,Employees!$B$4:$B$43,0)),0),0))</f>
        <v/>
      </c>
      <c r="J584" s="25" t="str">
        <f aca="false">IF(G584="","",IF(H584="Yes",G584*I584,0))</f>
        <v/>
      </c>
      <c r="K584" s="25" t="str">
        <f aca="false">IF(OR(C584="",G584=""),"",G584*IFERROR(INDEX(Employees!$F$4:$F$43,MATCH(C584,Employees!$B$4:$B$43,0)),0))</f>
        <v/>
      </c>
      <c r="L584" s="28"/>
    </row>
    <row r="585" customFormat="false" ht="15" hidden="false" customHeight="false" outlineLevel="0" collapsed="false">
      <c r="A585" s="26"/>
      <c r="B585" s="27" t="str">
        <f aca="false">IF(A585="","",A585+7-WEEKDAY(A585,1)+1)</f>
        <v/>
      </c>
      <c r="C585" s="28"/>
      <c r="D585" s="29"/>
      <c r="E585" s="28"/>
      <c r="F585" s="28"/>
      <c r="G585" s="30"/>
      <c r="H585" s="31" t="str">
        <f aca="false">IF(E585="","",IFERROR(INDEX(Lists!$C$2:$C$86,MATCH(E585,Lists!$A$2:$A$86,0)),"?"))</f>
        <v/>
      </c>
      <c r="I585" s="32" t="str">
        <f aca="false">IF(OR(C585="",E585=""),"",IF(H585="Yes",IFERROR(INDEX(Employees!$E$4:$E$43,MATCH(C585,Employees!$B$4:$B$43,0)),0),0))</f>
        <v/>
      </c>
      <c r="J585" s="33" t="str">
        <f aca="false">IF(G585="","",IF(H585="Yes",G585*I585,0))</f>
        <v/>
      </c>
      <c r="K585" s="33" t="str">
        <f aca="false">IF(OR(C585="",G585=""),"",G585*IFERROR(INDEX(Employees!$F$4:$F$43,MATCH(C585,Employees!$B$4:$B$43,0)),0))</f>
        <v/>
      </c>
      <c r="L585" s="28"/>
    </row>
    <row r="586" customFormat="false" ht="15" hidden="false" customHeight="false" outlineLevel="0" collapsed="false">
      <c r="A586" s="26"/>
      <c r="B586" s="19" t="str">
        <f aca="false">IF(A586="","",A586+7-WEEKDAY(A586,1)+1)</f>
        <v/>
      </c>
      <c r="C586" s="28"/>
      <c r="D586" s="29"/>
      <c r="E586" s="28"/>
      <c r="F586" s="28"/>
      <c r="G586" s="30"/>
      <c r="H586" s="23" t="str">
        <f aca="false">IF(E586="","",IFERROR(INDEX(Lists!$C$2:$C$86,MATCH(E586,Lists!$A$2:$A$86,0)),"?"))</f>
        <v/>
      </c>
      <c r="I586" s="24" t="str">
        <f aca="false">IF(OR(C586="",E586=""),"",IF(H586="Yes",IFERROR(INDEX(Employees!$E$4:$E$43,MATCH(C586,Employees!$B$4:$B$43,0)),0),0))</f>
        <v/>
      </c>
      <c r="J586" s="25" t="str">
        <f aca="false">IF(G586="","",IF(H586="Yes",G586*I586,0))</f>
        <v/>
      </c>
      <c r="K586" s="25" t="str">
        <f aca="false">IF(OR(C586="",G586=""),"",G586*IFERROR(INDEX(Employees!$F$4:$F$43,MATCH(C586,Employees!$B$4:$B$43,0)),0))</f>
        <v/>
      </c>
      <c r="L586" s="28"/>
    </row>
    <row r="587" customFormat="false" ht="15" hidden="false" customHeight="false" outlineLevel="0" collapsed="false">
      <c r="A587" s="26"/>
      <c r="B587" s="27" t="str">
        <f aca="false">IF(A587="","",A587+7-WEEKDAY(A587,1)+1)</f>
        <v/>
      </c>
      <c r="C587" s="28"/>
      <c r="D587" s="29"/>
      <c r="E587" s="28"/>
      <c r="F587" s="28"/>
      <c r="G587" s="30"/>
      <c r="H587" s="31" t="str">
        <f aca="false">IF(E587="","",IFERROR(INDEX(Lists!$C$2:$C$86,MATCH(E587,Lists!$A$2:$A$86,0)),"?"))</f>
        <v/>
      </c>
      <c r="I587" s="32" t="str">
        <f aca="false">IF(OR(C587="",E587=""),"",IF(H587="Yes",IFERROR(INDEX(Employees!$E$4:$E$43,MATCH(C587,Employees!$B$4:$B$43,0)),0),0))</f>
        <v/>
      </c>
      <c r="J587" s="33" t="str">
        <f aca="false">IF(G587="","",IF(H587="Yes",G587*I587,0))</f>
        <v/>
      </c>
      <c r="K587" s="33" t="str">
        <f aca="false">IF(OR(C587="",G587=""),"",G587*IFERROR(INDEX(Employees!$F$4:$F$43,MATCH(C587,Employees!$B$4:$B$43,0)),0))</f>
        <v/>
      </c>
      <c r="L587" s="28"/>
    </row>
    <row r="588" customFormat="false" ht="15" hidden="false" customHeight="false" outlineLevel="0" collapsed="false">
      <c r="A588" s="26"/>
      <c r="B588" s="19" t="str">
        <f aca="false">IF(A588="","",A588+7-WEEKDAY(A588,1)+1)</f>
        <v/>
      </c>
      <c r="C588" s="28"/>
      <c r="D588" s="29"/>
      <c r="E588" s="28"/>
      <c r="F588" s="28"/>
      <c r="G588" s="30"/>
      <c r="H588" s="23" t="str">
        <f aca="false">IF(E588="","",IFERROR(INDEX(Lists!$C$2:$C$86,MATCH(E588,Lists!$A$2:$A$86,0)),"?"))</f>
        <v/>
      </c>
      <c r="I588" s="24" t="str">
        <f aca="false">IF(OR(C588="",E588=""),"",IF(H588="Yes",IFERROR(INDEX(Employees!$E$4:$E$43,MATCH(C588,Employees!$B$4:$B$43,0)),0),0))</f>
        <v/>
      </c>
      <c r="J588" s="25" t="str">
        <f aca="false">IF(G588="","",IF(H588="Yes",G588*I588,0))</f>
        <v/>
      </c>
      <c r="K588" s="25" t="str">
        <f aca="false">IF(OR(C588="",G588=""),"",G588*IFERROR(INDEX(Employees!$F$4:$F$43,MATCH(C588,Employees!$B$4:$B$43,0)),0))</f>
        <v/>
      </c>
      <c r="L588" s="28"/>
    </row>
    <row r="589" customFormat="false" ht="15" hidden="false" customHeight="false" outlineLevel="0" collapsed="false">
      <c r="A589" s="26"/>
      <c r="B589" s="27" t="str">
        <f aca="false">IF(A589="","",A589+7-WEEKDAY(A589,1)+1)</f>
        <v/>
      </c>
      <c r="C589" s="28"/>
      <c r="D589" s="29"/>
      <c r="E589" s="28"/>
      <c r="F589" s="28"/>
      <c r="G589" s="30"/>
      <c r="H589" s="31" t="str">
        <f aca="false">IF(E589="","",IFERROR(INDEX(Lists!$C$2:$C$86,MATCH(E589,Lists!$A$2:$A$86,0)),"?"))</f>
        <v/>
      </c>
      <c r="I589" s="32" t="str">
        <f aca="false">IF(OR(C589="",E589=""),"",IF(H589="Yes",IFERROR(INDEX(Employees!$E$4:$E$43,MATCH(C589,Employees!$B$4:$B$43,0)),0),0))</f>
        <v/>
      </c>
      <c r="J589" s="33" t="str">
        <f aca="false">IF(G589="","",IF(H589="Yes",G589*I589,0))</f>
        <v/>
      </c>
      <c r="K589" s="33" t="str">
        <f aca="false">IF(OR(C589="",G589=""),"",G589*IFERROR(INDEX(Employees!$F$4:$F$43,MATCH(C589,Employees!$B$4:$B$43,0)),0))</f>
        <v/>
      </c>
      <c r="L589" s="28"/>
    </row>
    <row r="590" customFormat="false" ht="15" hidden="false" customHeight="false" outlineLevel="0" collapsed="false">
      <c r="A590" s="26"/>
      <c r="B590" s="19" t="str">
        <f aca="false">IF(A590="","",A590+7-WEEKDAY(A590,1)+1)</f>
        <v/>
      </c>
      <c r="C590" s="28"/>
      <c r="D590" s="29"/>
      <c r="E590" s="28"/>
      <c r="F590" s="28"/>
      <c r="G590" s="30"/>
      <c r="H590" s="23" t="str">
        <f aca="false">IF(E590="","",IFERROR(INDEX(Lists!$C$2:$C$86,MATCH(E590,Lists!$A$2:$A$86,0)),"?"))</f>
        <v/>
      </c>
      <c r="I590" s="24" t="str">
        <f aca="false">IF(OR(C590="",E590=""),"",IF(H590="Yes",IFERROR(INDEX(Employees!$E$4:$E$43,MATCH(C590,Employees!$B$4:$B$43,0)),0),0))</f>
        <v/>
      </c>
      <c r="J590" s="25" t="str">
        <f aca="false">IF(G590="","",IF(H590="Yes",G590*I590,0))</f>
        <v/>
      </c>
      <c r="K590" s="25" t="str">
        <f aca="false">IF(OR(C590="",G590=""),"",G590*IFERROR(INDEX(Employees!$F$4:$F$43,MATCH(C590,Employees!$B$4:$B$43,0)),0))</f>
        <v/>
      </c>
      <c r="L590" s="28"/>
    </row>
    <row r="591" customFormat="false" ht="15" hidden="false" customHeight="false" outlineLevel="0" collapsed="false">
      <c r="A591" s="26"/>
      <c r="B591" s="27" t="str">
        <f aca="false">IF(A591="","",A591+7-WEEKDAY(A591,1)+1)</f>
        <v/>
      </c>
      <c r="C591" s="28"/>
      <c r="D591" s="29"/>
      <c r="E591" s="28"/>
      <c r="F591" s="28"/>
      <c r="G591" s="30"/>
      <c r="H591" s="31" t="str">
        <f aca="false">IF(E591="","",IFERROR(INDEX(Lists!$C$2:$C$86,MATCH(E591,Lists!$A$2:$A$86,0)),"?"))</f>
        <v/>
      </c>
      <c r="I591" s="32" t="str">
        <f aca="false">IF(OR(C591="",E591=""),"",IF(H591="Yes",IFERROR(INDEX(Employees!$E$4:$E$43,MATCH(C591,Employees!$B$4:$B$43,0)),0),0))</f>
        <v/>
      </c>
      <c r="J591" s="33" t="str">
        <f aca="false">IF(G591="","",IF(H591="Yes",G591*I591,0))</f>
        <v/>
      </c>
      <c r="K591" s="33" t="str">
        <f aca="false">IF(OR(C591="",G591=""),"",G591*IFERROR(INDEX(Employees!$F$4:$F$43,MATCH(C591,Employees!$B$4:$B$43,0)),0))</f>
        <v/>
      </c>
      <c r="L591" s="28"/>
    </row>
    <row r="592" customFormat="false" ht="15" hidden="false" customHeight="false" outlineLevel="0" collapsed="false">
      <c r="A592" s="26"/>
      <c r="B592" s="19" t="str">
        <f aca="false">IF(A592="","",A592+7-WEEKDAY(A592,1)+1)</f>
        <v/>
      </c>
      <c r="C592" s="28"/>
      <c r="D592" s="29"/>
      <c r="E592" s="28"/>
      <c r="F592" s="28"/>
      <c r="G592" s="30"/>
      <c r="H592" s="23" t="str">
        <f aca="false">IF(E592="","",IFERROR(INDEX(Lists!$C$2:$C$86,MATCH(E592,Lists!$A$2:$A$86,0)),"?"))</f>
        <v/>
      </c>
      <c r="I592" s="24" t="str">
        <f aca="false">IF(OR(C592="",E592=""),"",IF(H592="Yes",IFERROR(INDEX(Employees!$E$4:$E$43,MATCH(C592,Employees!$B$4:$B$43,0)),0),0))</f>
        <v/>
      </c>
      <c r="J592" s="25" t="str">
        <f aca="false">IF(G592="","",IF(H592="Yes",G592*I592,0))</f>
        <v/>
      </c>
      <c r="K592" s="25" t="str">
        <f aca="false">IF(OR(C592="",G592=""),"",G592*IFERROR(INDEX(Employees!$F$4:$F$43,MATCH(C592,Employees!$B$4:$B$43,0)),0))</f>
        <v/>
      </c>
      <c r="L592" s="28"/>
    </row>
    <row r="593" customFormat="false" ht="15" hidden="false" customHeight="false" outlineLevel="0" collapsed="false">
      <c r="A593" s="26"/>
      <c r="B593" s="27" t="str">
        <f aca="false">IF(A593="","",A593+7-WEEKDAY(A593,1)+1)</f>
        <v/>
      </c>
      <c r="C593" s="28"/>
      <c r="D593" s="29"/>
      <c r="E593" s="28"/>
      <c r="F593" s="28"/>
      <c r="G593" s="30"/>
      <c r="H593" s="31" t="str">
        <f aca="false">IF(E593="","",IFERROR(INDEX(Lists!$C$2:$C$86,MATCH(E593,Lists!$A$2:$A$86,0)),"?"))</f>
        <v/>
      </c>
      <c r="I593" s="32" t="str">
        <f aca="false">IF(OR(C593="",E593=""),"",IF(H593="Yes",IFERROR(INDEX(Employees!$E$4:$E$43,MATCH(C593,Employees!$B$4:$B$43,0)),0),0))</f>
        <v/>
      </c>
      <c r="J593" s="33" t="str">
        <f aca="false">IF(G593="","",IF(H593="Yes",G593*I593,0))</f>
        <v/>
      </c>
      <c r="K593" s="33" t="str">
        <f aca="false">IF(OR(C593="",G593=""),"",G593*IFERROR(INDEX(Employees!$F$4:$F$43,MATCH(C593,Employees!$B$4:$B$43,0)),0))</f>
        <v/>
      </c>
      <c r="L593" s="28"/>
    </row>
    <row r="594" customFormat="false" ht="15" hidden="false" customHeight="false" outlineLevel="0" collapsed="false">
      <c r="A594" s="26"/>
      <c r="B594" s="19" t="str">
        <f aca="false">IF(A594="","",A594+7-WEEKDAY(A594,1)+1)</f>
        <v/>
      </c>
      <c r="C594" s="28"/>
      <c r="D594" s="29"/>
      <c r="E594" s="28"/>
      <c r="F594" s="28"/>
      <c r="G594" s="30"/>
      <c r="H594" s="23" t="str">
        <f aca="false">IF(E594="","",IFERROR(INDEX(Lists!$C$2:$C$86,MATCH(E594,Lists!$A$2:$A$86,0)),"?"))</f>
        <v/>
      </c>
      <c r="I594" s="24" t="str">
        <f aca="false">IF(OR(C594="",E594=""),"",IF(H594="Yes",IFERROR(INDEX(Employees!$E$4:$E$43,MATCH(C594,Employees!$B$4:$B$43,0)),0),0))</f>
        <v/>
      </c>
      <c r="J594" s="25" t="str">
        <f aca="false">IF(G594="","",IF(H594="Yes",G594*I594,0))</f>
        <v/>
      </c>
      <c r="K594" s="25" t="str">
        <f aca="false">IF(OR(C594="",G594=""),"",G594*IFERROR(INDEX(Employees!$F$4:$F$43,MATCH(C594,Employees!$B$4:$B$43,0)),0))</f>
        <v/>
      </c>
      <c r="L594" s="28"/>
    </row>
    <row r="595" customFormat="false" ht="15" hidden="false" customHeight="false" outlineLevel="0" collapsed="false">
      <c r="A595" s="26"/>
      <c r="B595" s="27" t="str">
        <f aca="false">IF(A595="","",A595+7-WEEKDAY(A595,1)+1)</f>
        <v/>
      </c>
      <c r="C595" s="28"/>
      <c r="D595" s="29"/>
      <c r="E595" s="28"/>
      <c r="F595" s="28"/>
      <c r="G595" s="30"/>
      <c r="H595" s="31" t="str">
        <f aca="false">IF(E595="","",IFERROR(INDEX(Lists!$C$2:$C$86,MATCH(E595,Lists!$A$2:$A$86,0)),"?"))</f>
        <v/>
      </c>
      <c r="I595" s="32" t="str">
        <f aca="false">IF(OR(C595="",E595=""),"",IF(H595="Yes",IFERROR(INDEX(Employees!$E$4:$E$43,MATCH(C595,Employees!$B$4:$B$43,0)),0),0))</f>
        <v/>
      </c>
      <c r="J595" s="33" t="str">
        <f aca="false">IF(G595="","",IF(H595="Yes",G595*I595,0))</f>
        <v/>
      </c>
      <c r="K595" s="33" t="str">
        <f aca="false">IF(OR(C595="",G595=""),"",G595*IFERROR(INDEX(Employees!$F$4:$F$43,MATCH(C595,Employees!$B$4:$B$43,0)),0))</f>
        <v/>
      </c>
      <c r="L595" s="28"/>
    </row>
    <row r="596" customFormat="false" ht="15" hidden="false" customHeight="false" outlineLevel="0" collapsed="false">
      <c r="A596" s="26"/>
      <c r="B596" s="19" t="str">
        <f aca="false">IF(A596="","",A596+7-WEEKDAY(A596,1)+1)</f>
        <v/>
      </c>
      <c r="C596" s="28"/>
      <c r="D596" s="29"/>
      <c r="E596" s="28"/>
      <c r="F596" s="28"/>
      <c r="G596" s="30"/>
      <c r="H596" s="23" t="str">
        <f aca="false">IF(E596="","",IFERROR(INDEX(Lists!$C$2:$C$86,MATCH(E596,Lists!$A$2:$A$86,0)),"?"))</f>
        <v/>
      </c>
      <c r="I596" s="24" t="str">
        <f aca="false">IF(OR(C596="",E596=""),"",IF(H596="Yes",IFERROR(INDEX(Employees!$E$4:$E$43,MATCH(C596,Employees!$B$4:$B$43,0)),0),0))</f>
        <v/>
      </c>
      <c r="J596" s="25" t="str">
        <f aca="false">IF(G596="","",IF(H596="Yes",G596*I596,0))</f>
        <v/>
      </c>
      <c r="K596" s="25" t="str">
        <f aca="false">IF(OR(C596="",G596=""),"",G596*IFERROR(INDEX(Employees!$F$4:$F$43,MATCH(C596,Employees!$B$4:$B$43,0)),0))</f>
        <v/>
      </c>
      <c r="L596" s="28"/>
    </row>
    <row r="597" customFormat="false" ht="15" hidden="false" customHeight="false" outlineLevel="0" collapsed="false">
      <c r="A597" s="26"/>
      <c r="B597" s="27" t="str">
        <f aca="false">IF(A597="","",A597+7-WEEKDAY(A597,1)+1)</f>
        <v/>
      </c>
      <c r="C597" s="28"/>
      <c r="D597" s="29"/>
      <c r="E597" s="28"/>
      <c r="F597" s="28"/>
      <c r="G597" s="30"/>
      <c r="H597" s="31" t="str">
        <f aca="false">IF(E597="","",IFERROR(INDEX(Lists!$C$2:$C$86,MATCH(E597,Lists!$A$2:$A$86,0)),"?"))</f>
        <v/>
      </c>
      <c r="I597" s="32" t="str">
        <f aca="false">IF(OR(C597="",E597=""),"",IF(H597="Yes",IFERROR(INDEX(Employees!$E$4:$E$43,MATCH(C597,Employees!$B$4:$B$43,0)),0),0))</f>
        <v/>
      </c>
      <c r="J597" s="33" t="str">
        <f aca="false">IF(G597="","",IF(H597="Yes",G597*I597,0))</f>
        <v/>
      </c>
      <c r="K597" s="33" t="str">
        <f aca="false">IF(OR(C597="",G597=""),"",G597*IFERROR(INDEX(Employees!$F$4:$F$43,MATCH(C597,Employees!$B$4:$B$43,0)),0))</f>
        <v/>
      </c>
      <c r="L597" s="28"/>
    </row>
    <row r="598" customFormat="false" ht="15" hidden="false" customHeight="false" outlineLevel="0" collapsed="false">
      <c r="A598" s="26"/>
      <c r="B598" s="19" t="str">
        <f aca="false">IF(A598="","",A598+7-WEEKDAY(A598,1)+1)</f>
        <v/>
      </c>
      <c r="C598" s="28"/>
      <c r="D598" s="29"/>
      <c r="E598" s="28"/>
      <c r="F598" s="28"/>
      <c r="G598" s="30"/>
      <c r="H598" s="23" t="str">
        <f aca="false">IF(E598="","",IFERROR(INDEX(Lists!$C$2:$C$86,MATCH(E598,Lists!$A$2:$A$86,0)),"?"))</f>
        <v/>
      </c>
      <c r="I598" s="24" t="str">
        <f aca="false">IF(OR(C598="",E598=""),"",IF(H598="Yes",IFERROR(INDEX(Employees!$E$4:$E$43,MATCH(C598,Employees!$B$4:$B$43,0)),0),0))</f>
        <v/>
      </c>
      <c r="J598" s="25" t="str">
        <f aca="false">IF(G598="","",IF(H598="Yes",G598*I598,0))</f>
        <v/>
      </c>
      <c r="K598" s="25" t="str">
        <f aca="false">IF(OR(C598="",G598=""),"",G598*IFERROR(INDEX(Employees!$F$4:$F$43,MATCH(C598,Employees!$B$4:$B$43,0)),0))</f>
        <v/>
      </c>
      <c r="L598" s="28"/>
    </row>
    <row r="599" customFormat="false" ht="15" hidden="false" customHeight="false" outlineLevel="0" collapsed="false">
      <c r="A599" s="26"/>
      <c r="B599" s="27" t="str">
        <f aca="false">IF(A599="","",A599+7-WEEKDAY(A599,1)+1)</f>
        <v/>
      </c>
      <c r="C599" s="28"/>
      <c r="D599" s="29"/>
      <c r="E599" s="28"/>
      <c r="F599" s="28"/>
      <c r="G599" s="30"/>
      <c r="H599" s="31" t="str">
        <f aca="false">IF(E599="","",IFERROR(INDEX(Lists!$C$2:$C$86,MATCH(E599,Lists!$A$2:$A$86,0)),"?"))</f>
        <v/>
      </c>
      <c r="I599" s="32" t="str">
        <f aca="false">IF(OR(C599="",E599=""),"",IF(H599="Yes",IFERROR(INDEX(Employees!$E$4:$E$43,MATCH(C599,Employees!$B$4:$B$43,0)),0),0))</f>
        <v/>
      </c>
      <c r="J599" s="33" t="str">
        <f aca="false">IF(G599="","",IF(H599="Yes",G599*I599,0))</f>
        <v/>
      </c>
      <c r="K599" s="33" t="str">
        <f aca="false">IF(OR(C599="",G599=""),"",G599*IFERROR(INDEX(Employees!$F$4:$F$43,MATCH(C599,Employees!$B$4:$B$43,0)),0))</f>
        <v/>
      </c>
      <c r="L599" s="28"/>
    </row>
    <row r="600" customFormat="false" ht="15" hidden="false" customHeight="false" outlineLevel="0" collapsed="false">
      <c r="A600" s="26"/>
      <c r="B600" s="19" t="str">
        <f aca="false">IF(A600="","",A600+7-WEEKDAY(A600,1)+1)</f>
        <v/>
      </c>
      <c r="C600" s="28"/>
      <c r="D600" s="29"/>
      <c r="E600" s="28"/>
      <c r="F600" s="28"/>
      <c r="G600" s="30"/>
      <c r="H600" s="23" t="str">
        <f aca="false">IF(E600="","",IFERROR(INDEX(Lists!$C$2:$C$86,MATCH(E600,Lists!$A$2:$A$86,0)),"?"))</f>
        <v/>
      </c>
      <c r="I600" s="24" t="str">
        <f aca="false">IF(OR(C600="",E600=""),"",IF(H600="Yes",IFERROR(INDEX(Employees!$E$4:$E$43,MATCH(C600,Employees!$B$4:$B$43,0)),0),0))</f>
        <v/>
      </c>
      <c r="J600" s="25" t="str">
        <f aca="false">IF(G600="","",IF(H600="Yes",G600*I600,0))</f>
        <v/>
      </c>
      <c r="K600" s="25" t="str">
        <f aca="false">IF(OR(C600="",G600=""),"",G600*IFERROR(INDEX(Employees!$F$4:$F$43,MATCH(C600,Employees!$B$4:$B$43,0)),0))</f>
        <v/>
      </c>
      <c r="L600" s="28"/>
    </row>
    <row r="601" customFormat="false" ht="15" hidden="false" customHeight="false" outlineLevel="0" collapsed="false">
      <c r="A601" s="26"/>
      <c r="B601" s="27" t="str">
        <f aca="false">IF(A601="","",A601+7-WEEKDAY(A601,1)+1)</f>
        <v/>
      </c>
      <c r="C601" s="28"/>
      <c r="D601" s="29"/>
      <c r="E601" s="28"/>
      <c r="F601" s="28"/>
      <c r="G601" s="30"/>
      <c r="H601" s="31" t="str">
        <f aca="false">IF(E601="","",IFERROR(INDEX(Lists!$C$2:$C$86,MATCH(E601,Lists!$A$2:$A$86,0)),"?"))</f>
        <v/>
      </c>
      <c r="I601" s="32" t="str">
        <f aca="false">IF(OR(C601="",E601=""),"",IF(H601="Yes",IFERROR(INDEX(Employees!$E$4:$E$43,MATCH(C601,Employees!$B$4:$B$43,0)),0),0))</f>
        <v/>
      </c>
      <c r="J601" s="33" t="str">
        <f aca="false">IF(G601="","",IF(H601="Yes",G601*I601,0))</f>
        <v/>
      </c>
      <c r="K601" s="33" t="str">
        <f aca="false">IF(OR(C601="",G601=""),"",G601*IFERROR(INDEX(Employees!$F$4:$F$43,MATCH(C601,Employees!$B$4:$B$43,0)),0))</f>
        <v/>
      </c>
      <c r="L601" s="28"/>
    </row>
    <row r="602" customFormat="false" ht="15" hidden="false" customHeight="false" outlineLevel="0" collapsed="false">
      <c r="A602" s="26"/>
      <c r="B602" s="19" t="str">
        <f aca="false">IF(A602="","",A602+7-WEEKDAY(A602,1)+1)</f>
        <v/>
      </c>
      <c r="C602" s="28"/>
      <c r="D602" s="29"/>
      <c r="E602" s="28"/>
      <c r="F602" s="28"/>
      <c r="G602" s="30"/>
      <c r="H602" s="23" t="str">
        <f aca="false">IF(E602="","",IFERROR(INDEX(Lists!$C$2:$C$86,MATCH(E602,Lists!$A$2:$A$86,0)),"?"))</f>
        <v/>
      </c>
      <c r="I602" s="24" t="str">
        <f aca="false">IF(OR(C602="",E602=""),"",IF(H602="Yes",IFERROR(INDEX(Employees!$E$4:$E$43,MATCH(C602,Employees!$B$4:$B$43,0)),0),0))</f>
        <v/>
      </c>
      <c r="J602" s="25" t="str">
        <f aca="false">IF(G602="","",IF(H602="Yes",G602*I602,0))</f>
        <v/>
      </c>
      <c r="K602" s="25" t="str">
        <f aca="false">IF(OR(C602="",G602=""),"",G602*IFERROR(INDEX(Employees!$F$4:$F$43,MATCH(C602,Employees!$B$4:$B$43,0)),0))</f>
        <v/>
      </c>
      <c r="L602" s="28"/>
    </row>
    <row r="603" customFormat="false" ht="15" hidden="false" customHeight="false" outlineLevel="0" collapsed="false">
      <c r="A603" s="26"/>
      <c r="B603" s="27" t="str">
        <f aca="false">IF(A603="","",A603+7-WEEKDAY(A603,1)+1)</f>
        <v/>
      </c>
      <c r="C603" s="28"/>
      <c r="D603" s="29"/>
      <c r="E603" s="28"/>
      <c r="F603" s="28"/>
      <c r="G603" s="30"/>
      <c r="H603" s="31" t="str">
        <f aca="false">IF(E603="","",IFERROR(INDEX(Lists!$C$2:$C$86,MATCH(E603,Lists!$A$2:$A$86,0)),"?"))</f>
        <v/>
      </c>
      <c r="I603" s="32" t="str">
        <f aca="false">IF(OR(C603="",E603=""),"",IF(H603="Yes",IFERROR(INDEX(Employees!$E$4:$E$43,MATCH(C603,Employees!$B$4:$B$43,0)),0),0))</f>
        <v/>
      </c>
      <c r="J603" s="33" t="str">
        <f aca="false">IF(G603="","",IF(H603="Yes",G603*I603,0))</f>
        <v/>
      </c>
      <c r="K603" s="33" t="str">
        <f aca="false">IF(OR(C603="",G603=""),"",G603*IFERROR(INDEX(Employees!$F$4:$F$43,MATCH(C603,Employees!$B$4:$B$43,0)),0))</f>
        <v/>
      </c>
      <c r="L603" s="28"/>
    </row>
    <row r="604" customFormat="false" ht="15" hidden="false" customHeight="false" outlineLevel="0" collapsed="false">
      <c r="A604" s="26"/>
      <c r="B604" s="19" t="str">
        <f aca="false">IF(A604="","",A604+7-WEEKDAY(A604,1)+1)</f>
        <v/>
      </c>
      <c r="C604" s="28"/>
      <c r="D604" s="29"/>
      <c r="E604" s="28"/>
      <c r="F604" s="28"/>
      <c r="G604" s="30"/>
      <c r="H604" s="23" t="str">
        <f aca="false">IF(E604="","",IFERROR(INDEX(Lists!$C$2:$C$86,MATCH(E604,Lists!$A$2:$A$86,0)),"?"))</f>
        <v/>
      </c>
      <c r="I604" s="24" t="str">
        <f aca="false">IF(OR(C604="",E604=""),"",IF(H604="Yes",IFERROR(INDEX(Employees!$E$4:$E$43,MATCH(C604,Employees!$B$4:$B$43,0)),0),0))</f>
        <v/>
      </c>
      <c r="J604" s="25" t="str">
        <f aca="false">IF(G604="","",IF(H604="Yes",G604*I604,0))</f>
        <v/>
      </c>
      <c r="K604" s="25" t="str">
        <f aca="false">IF(OR(C604="",G604=""),"",G604*IFERROR(INDEX(Employees!$F$4:$F$43,MATCH(C604,Employees!$B$4:$B$43,0)),0))</f>
        <v/>
      </c>
      <c r="L604" s="28"/>
    </row>
    <row r="605" customFormat="false" ht="15" hidden="false" customHeight="false" outlineLevel="0" collapsed="false">
      <c r="A605" s="26"/>
      <c r="B605" s="27" t="str">
        <f aca="false">IF(A605="","",A605+7-WEEKDAY(A605,1)+1)</f>
        <v/>
      </c>
      <c r="C605" s="28"/>
      <c r="D605" s="29"/>
      <c r="E605" s="28"/>
      <c r="F605" s="28"/>
      <c r="G605" s="30"/>
      <c r="H605" s="31" t="str">
        <f aca="false">IF(E605="","",IFERROR(INDEX(Lists!$C$2:$C$86,MATCH(E605,Lists!$A$2:$A$86,0)),"?"))</f>
        <v/>
      </c>
      <c r="I605" s="32" t="str">
        <f aca="false">IF(OR(C605="",E605=""),"",IF(H605="Yes",IFERROR(INDEX(Employees!$E$4:$E$43,MATCH(C605,Employees!$B$4:$B$43,0)),0),0))</f>
        <v/>
      </c>
      <c r="J605" s="33" t="str">
        <f aca="false">IF(G605="","",IF(H605="Yes",G605*I605,0))</f>
        <v/>
      </c>
      <c r="K605" s="33" t="str">
        <f aca="false">IF(OR(C605="",G605=""),"",G605*IFERROR(INDEX(Employees!$F$4:$F$43,MATCH(C605,Employees!$B$4:$B$43,0)),0))</f>
        <v/>
      </c>
      <c r="L605" s="28"/>
    </row>
    <row r="606" customFormat="false" ht="15" hidden="false" customHeight="false" outlineLevel="0" collapsed="false">
      <c r="A606" s="26"/>
      <c r="B606" s="19" t="str">
        <f aca="false">IF(A606="","",A606+7-WEEKDAY(A606,1)+1)</f>
        <v/>
      </c>
      <c r="C606" s="28"/>
      <c r="D606" s="29"/>
      <c r="E606" s="28"/>
      <c r="F606" s="28"/>
      <c r="G606" s="30"/>
      <c r="H606" s="23" t="str">
        <f aca="false">IF(E606="","",IFERROR(INDEX(Lists!$C$2:$C$86,MATCH(E606,Lists!$A$2:$A$86,0)),"?"))</f>
        <v/>
      </c>
      <c r="I606" s="24" t="str">
        <f aca="false">IF(OR(C606="",E606=""),"",IF(H606="Yes",IFERROR(INDEX(Employees!$E$4:$E$43,MATCH(C606,Employees!$B$4:$B$43,0)),0),0))</f>
        <v/>
      </c>
      <c r="J606" s="25" t="str">
        <f aca="false">IF(G606="","",IF(H606="Yes",G606*I606,0))</f>
        <v/>
      </c>
      <c r="K606" s="25" t="str">
        <f aca="false">IF(OR(C606="",G606=""),"",G606*IFERROR(INDEX(Employees!$F$4:$F$43,MATCH(C606,Employees!$B$4:$B$43,0)),0))</f>
        <v/>
      </c>
      <c r="L606" s="28"/>
    </row>
    <row r="607" customFormat="false" ht="15" hidden="false" customHeight="false" outlineLevel="0" collapsed="false">
      <c r="A607" s="26"/>
      <c r="B607" s="27" t="str">
        <f aca="false">IF(A607="","",A607+7-WEEKDAY(A607,1)+1)</f>
        <v/>
      </c>
      <c r="C607" s="28"/>
      <c r="D607" s="29"/>
      <c r="E607" s="28"/>
      <c r="F607" s="28"/>
      <c r="G607" s="30"/>
      <c r="H607" s="31" t="str">
        <f aca="false">IF(E607="","",IFERROR(INDEX(Lists!$C$2:$C$86,MATCH(E607,Lists!$A$2:$A$86,0)),"?"))</f>
        <v/>
      </c>
      <c r="I607" s="32" t="str">
        <f aca="false">IF(OR(C607="",E607=""),"",IF(H607="Yes",IFERROR(INDEX(Employees!$E$4:$E$43,MATCH(C607,Employees!$B$4:$B$43,0)),0),0))</f>
        <v/>
      </c>
      <c r="J607" s="33" t="str">
        <f aca="false">IF(G607="","",IF(H607="Yes",G607*I607,0))</f>
        <v/>
      </c>
      <c r="K607" s="33" t="str">
        <f aca="false">IF(OR(C607="",G607=""),"",G607*IFERROR(INDEX(Employees!$F$4:$F$43,MATCH(C607,Employees!$B$4:$B$43,0)),0))</f>
        <v/>
      </c>
      <c r="L607" s="28"/>
    </row>
    <row r="608" customFormat="false" ht="15" hidden="false" customHeight="false" outlineLevel="0" collapsed="false">
      <c r="A608" s="26"/>
      <c r="B608" s="19" t="str">
        <f aca="false">IF(A608="","",A608+7-WEEKDAY(A608,1)+1)</f>
        <v/>
      </c>
      <c r="C608" s="28"/>
      <c r="D608" s="29"/>
      <c r="E608" s="28"/>
      <c r="F608" s="28"/>
      <c r="G608" s="30"/>
      <c r="H608" s="23" t="str">
        <f aca="false">IF(E608="","",IFERROR(INDEX(Lists!$C$2:$C$86,MATCH(E608,Lists!$A$2:$A$86,0)),"?"))</f>
        <v/>
      </c>
      <c r="I608" s="24" t="str">
        <f aca="false">IF(OR(C608="",E608=""),"",IF(H608="Yes",IFERROR(INDEX(Employees!$E$4:$E$43,MATCH(C608,Employees!$B$4:$B$43,0)),0),0))</f>
        <v/>
      </c>
      <c r="J608" s="25" t="str">
        <f aca="false">IF(G608="","",IF(H608="Yes",G608*I608,0))</f>
        <v/>
      </c>
      <c r="K608" s="25" t="str">
        <f aca="false">IF(OR(C608="",G608=""),"",G608*IFERROR(INDEX(Employees!$F$4:$F$43,MATCH(C608,Employees!$B$4:$B$43,0)),0))</f>
        <v/>
      </c>
      <c r="L608" s="28"/>
    </row>
    <row r="609" customFormat="false" ht="15" hidden="false" customHeight="false" outlineLevel="0" collapsed="false">
      <c r="A609" s="26"/>
      <c r="B609" s="27" t="str">
        <f aca="false">IF(A609="","",A609+7-WEEKDAY(A609,1)+1)</f>
        <v/>
      </c>
      <c r="C609" s="28"/>
      <c r="D609" s="29"/>
      <c r="E609" s="28"/>
      <c r="F609" s="28"/>
      <c r="G609" s="30"/>
      <c r="H609" s="31" t="str">
        <f aca="false">IF(E609="","",IFERROR(INDEX(Lists!$C$2:$C$86,MATCH(E609,Lists!$A$2:$A$86,0)),"?"))</f>
        <v/>
      </c>
      <c r="I609" s="32" t="str">
        <f aca="false">IF(OR(C609="",E609=""),"",IF(H609="Yes",IFERROR(INDEX(Employees!$E$4:$E$43,MATCH(C609,Employees!$B$4:$B$43,0)),0),0))</f>
        <v/>
      </c>
      <c r="J609" s="33" t="str">
        <f aca="false">IF(G609="","",IF(H609="Yes",G609*I609,0))</f>
        <v/>
      </c>
      <c r="K609" s="33" t="str">
        <f aca="false">IF(OR(C609="",G609=""),"",G609*IFERROR(INDEX(Employees!$F$4:$F$43,MATCH(C609,Employees!$B$4:$B$43,0)),0))</f>
        <v/>
      </c>
      <c r="L609" s="28"/>
    </row>
    <row r="610" customFormat="false" ht="15" hidden="false" customHeight="false" outlineLevel="0" collapsed="false">
      <c r="A610" s="26"/>
      <c r="B610" s="19" t="str">
        <f aca="false">IF(A610="","",A610+7-WEEKDAY(A610,1)+1)</f>
        <v/>
      </c>
      <c r="C610" s="28"/>
      <c r="D610" s="29"/>
      <c r="E610" s="28"/>
      <c r="F610" s="28"/>
      <c r="G610" s="30"/>
      <c r="H610" s="23" t="str">
        <f aca="false">IF(E610="","",IFERROR(INDEX(Lists!$C$2:$C$86,MATCH(E610,Lists!$A$2:$A$86,0)),"?"))</f>
        <v/>
      </c>
      <c r="I610" s="24" t="str">
        <f aca="false">IF(OR(C610="",E610=""),"",IF(H610="Yes",IFERROR(INDEX(Employees!$E$4:$E$43,MATCH(C610,Employees!$B$4:$B$43,0)),0),0))</f>
        <v/>
      </c>
      <c r="J610" s="25" t="str">
        <f aca="false">IF(G610="","",IF(H610="Yes",G610*I610,0))</f>
        <v/>
      </c>
      <c r="K610" s="25" t="str">
        <f aca="false">IF(OR(C610="",G610=""),"",G610*IFERROR(INDEX(Employees!$F$4:$F$43,MATCH(C610,Employees!$B$4:$B$43,0)),0))</f>
        <v/>
      </c>
      <c r="L610" s="28"/>
    </row>
    <row r="611" customFormat="false" ht="15" hidden="false" customHeight="false" outlineLevel="0" collapsed="false">
      <c r="A611" s="26"/>
      <c r="B611" s="27" t="str">
        <f aca="false">IF(A611="","",A611+7-WEEKDAY(A611,1)+1)</f>
        <v/>
      </c>
      <c r="C611" s="28"/>
      <c r="D611" s="29"/>
      <c r="E611" s="28"/>
      <c r="F611" s="28"/>
      <c r="G611" s="30"/>
      <c r="H611" s="31" t="str">
        <f aca="false">IF(E611="","",IFERROR(INDEX(Lists!$C$2:$C$86,MATCH(E611,Lists!$A$2:$A$86,0)),"?"))</f>
        <v/>
      </c>
      <c r="I611" s="32" t="str">
        <f aca="false">IF(OR(C611="",E611=""),"",IF(H611="Yes",IFERROR(INDEX(Employees!$E$4:$E$43,MATCH(C611,Employees!$B$4:$B$43,0)),0),0))</f>
        <v/>
      </c>
      <c r="J611" s="33" t="str">
        <f aca="false">IF(G611="","",IF(H611="Yes",G611*I611,0))</f>
        <v/>
      </c>
      <c r="K611" s="33" t="str">
        <f aca="false">IF(OR(C611="",G611=""),"",G611*IFERROR(INDEX(Employees!$F$4:$F$43,MATCH(C611,Employees!$B$4:$B$43,0)),0))</f>
        <v/>
      </c>
      <c r="L611" s="28"/>
    </row>
    <row r="612" customFormat="false" ht="15" hidden="false" customHeight="false" outlineLevel="0" collapsed="false">
      <c r="A612" s="26"/>
      <c r="B612" s="19" t="str">
        <f aca="false">IF(A612="","",A612+7-WEEKDAY(A612,1)+1)</f>
        <v/>
      </c>
      <c r="C612" s="28"/>
      <c r="D612" s="29"/>
      <c r="E612" s="28"/>
      <c r="F612" s="28"/>
      <c r="G612" s="30"/>
      <c r="H612" s="23" t="str">
        <f aca="false">IF(E612="","",IFERROR(INDEX(Lists!$C$2:$C$86,MATCH(E612,Lists!$A$2:$A$86,0)),"?"))</f>
        <v/>
      </c>
      <c r="I612" s="24" t="str">
        <f aca="false">IF(OR(C612="",E612=""),"",IF(H612="Yes",IFERROR(INDEX(Employees!$E$4:$E$43,MATCH(C612,Employees!$B$4:$B$43,0)),0),0))</f>
        <v/>
      </c>
      <c r="J612" s="25" t="str">
        <f aca="false">IF(G612="","",IF(H612="Yes",G612*I612,0))</f>
        <v/>
      </c>
      <c r="K612" s="25" t="str">
        <f aca="false">IF(OR(C612="",G612=""),"",G612*IFERROR(INDEX(Employees!$F$4:$F$43,MATCH(C612,Employees!$B$4:$B$43,0)),0))</f>
        <v/>
      </c>
      <c r="L612" s="28"/>
    </row>
    <row r="613" customFormat="false" ht="15" hidden="false" customHeight="false" outlineLevel="0" collapsed="false">
      <c r="A613" s="26"/>
      <c r="B613" s="27" t="str">
        <f aca="false">IF(A613="","",A613+7-WEEKDAY(A613,1)+1)</f>
        <v/>
      </c>
      <c r="C613" s="28"/>
      <c r="D613" s="29"/>
      <c r="E613" s="28"/>
      <c r="F613" s="28"/>
      <c r="G613" s="30"/>
      <c r="H613" s="31" t="str">
        <f aca="false">IF(E613="","",IFERROR(INDEX(Lists!$C$2:$C$86,MATCH(E613,Lists!$A$2:$A$86,0)),"?"))</f>
        <v/>
      </c>
      <c r="I613" s="32" t="str">
        <f aca="false">IF(OR(C613="",E613=""),"",IF(H613="Yes",IFERROR(INDEX(Employees!$E$4:$E$43,MATCH(C613,Employees!$B$4:$B$43,0)),0),0))</f>
        <v/>
      </c>
      <c r="J613" s="33" t="str">
        <f aca="false">IF(G613="","",IF(H613="Yes",G613*I613,0))</f>
        <v/>
      </c>
      <c r="K613" s="33" t="str">
        <f aca="false">IF(OR(C613="",G613=""),"",G613*IFERROR(INDEX(Employees!$F$4:$F$43,MATCH(C613,Employees!$B$4:$B$43,0)),0))</f>
        <v/>
      </c>
      <c r="L613" s="28"/>
    </row>
    <row r="614" customFormat="false" ht="15" hidden="false" customHeight="false" outlineLevel="0" collapsed="false">
      <c r="A614" s="26"/>
      <c r="B614" s="19" t="str">
        <f aca="false">IF(A614="","",A614+7-WEEKDAY(A614,1)+1)</f>
        <v/>
      </c>
      <c r="C614" s="28"/>
      <c r="D614" s="29"/>
      <c r="E614" s="28"/>
      <c r="F614" s="28"/>
      <c r="G614" s="30"/>
      <c r="H614" s="23" t="str">
        <f aca="false">IF(E614="","",IFERROR(INDEX(Lists!$C$2:$C$86,MATCH(E614,Lists!$A$2:$A$86,0)),"?"))</f>
        <v/>
      </c>
      <c r="I614" s="24" t="str">
        <f aca="false">IF(OR(C614="",E614=""),"",IF(H614="Yes",IFERROR(INDEX(Employees!$E$4:$E$43,MATCH(C614,Employees!$B$4:$B$43,0)),0),0))</f>
        <v/>
      </c>
      <c r="J614" s="25" t="str">
        <f aca="false">IF(G614="","",IF(H614="Yes",G614*I614,0))</f>
        <v/>
      </c>
      <c r="K614" s="25" t="str">
        <f aca="false">IF(OR(C614="",G614=""),"",G614*IFERROR(INDEX(Employees!$F$4:$F$43,MATCH(C614,Employees!$B$4:$B$43,0)),0))</f>
        <v/>
      </c>
      <c r="L614" s="28"/>
    </row>
    <row r="615" customFormat="false" ht="15" hidden="false" customHeight="false" outlineLevel="0" collapsed="false">
      <c r="A615" s="26"/>
      <c r="B615" s="27" t="str">
        <f aca="false">IF(A615="","",A615+7-WEEKDAY(A615,1)+1)</f>
        <v/>
      </c>
      <c r="C615" s="28"/>
      <c r="D615" s="29"/>
      <c r="E615" s="28"/>
      <c r="F615" s="28"/>
      <c r="G615" s="30"/>
      <c r="H615" s="31" t="str">
        <f aca="false">IF(E615="","",IFERROR(INDEX(Lists!$C$2:$C$86,MATCH(E615,Lists!$A$2:$A$86,0)),"?"))</f>
        <v/>
      </c>
      <c r="I615" s="32" t="str">
        <f aca="false">IF(OR(C615="",E615=""),"",IF(H615="Yes",IFERROR(INDEX(Employees!$E$4:$E$43,MATCH(C615,Employees!$B$4:$B$43,0)),0),0))</f>
        <v/>
      </c>
      <c r="J615" s="33" t="str">
        <f aca="false">IF(G615="","",IF(H615="Yes",G615*I615,0))</f>
        <v/>
      </c>
      <c r="K615" s="33" t="str">
        <f aca="false">IF(OR(C615="",G615=""),"",G615*IFERROR(INDEX(Employees!$F$4:$F$43,MATCH(C615,Employees!$B$4:$B$43,0)),0))</f>
        <v/>
      </c>
      <c r="L615" s="28"/>
    </row>
    <row r="616" customFormat="false" ht="15" hidden="false" customHeight="false" outlineLevel="0" collapsed="false">
      <c r="A616" s="26"/>
      <c r="B616" s="19" t="str">
        <f aca="false">IF(A616="","",A616+7-WEEKDAY(A616,1)+1)</f>
        <v/>
      </c>
      <c r="C616" s="28"/>
      <c r="D616" s="29"/>
      <c r="E616" s="28"/>
      <c r="F616" s="28"/>
      <c r="G616" s="30"/>
      <c r="H616" s="23" t="str">
        <f aca="false">IF(E616="","",IFERROR(INDEX(Lists!$C$2:$C$86,MATCH(E616,Lists!$A$2:$A$86,0)),"?"))</f>
        <v/>
      </c>
      <c r="I616" s="24" t="str">
        <f aca="false">IF(OR(C616="",E616=""),"",IF(H616="Yes",IFERROR(INDEX(Employees!$E$4:$E$43,MATCH(C616,Employees!$B$4:$B$43,0)),0),0))</f>
        <v/>
      </c>
      <c r="J616" s="25" t="str">
        <f aca="false">IF(G616="","",IF(H616="Yes",G616*I616,0))</f>
        <v/>
      </c>
      <c r="K616" s="25" t="str">
        <f aca="false">IF(OR(C616="",G616=""),"",G616*IFERROR(INDEX(Employees!$F$4:$F$43,MATCH(C616,Employees!$B$4:$B$43,0)),0))</f>
        <v/>
      </c>
      <c r="L616" s="28"/>
    </row>
    <row r="617" customFormat="false" ht="15" hidden="false" customHeight="false" outlineLevel="0" collapsed="false">
      <c r="A617" s="26"/>
      <c r="B617" s="27" t="str">
        <f aca="false">IF(A617="","",A617+7-WEEKDAY(A617,1)+1)</f>
        <v/>
      </c>
      <c r="C617" s="28"/>
      <c r="D617" s="29"/>
      <c r="E617" s="28"/>
      <c r="F617" s="28"/>
      <c r="G617" s="30"/>
      <c r="H617" s="31" t="str">
        <f aca="false">IF(E617="","",IFERROR(INDEX(Lists!$C$2:$C$86,MATCH(E617,Lists!$A$2:$A$86,0)),"?"))</f>
        <v/>
      </c>
      <c r="I617" s="32" t="str">
        <f aca="false">IF(OR(C617="",E617=""),"",IF(H617="Yes",IFERROR(INDEX(Employees!$E$4:$E$43,MATCH(C617,Employees!$B$4:$B$43,0)),0),0))</f>
        <v/>
      </c>
      <c r="J617" s="33" t="str">
        <f aca="false">IF(G617="","",IF(H617="Yes",G617*I617,0))</f>
        <v/>
      </c>
      <c r="K617" s="33" t="str">
        <f aca="false">IF(OR(C617="",G617=""),"",G617*IFERROR(INDEX(Employees!$F$4:$F$43,MATCH(C617,Employees!$B$4:$B$43,0)),0))</f>
        <v/>
      </c>
      <c r="L617" s="28"/>
    </row>
    <row r="618" customFormat="false" ht="15" hidden="false" customHeight="false" outlineLevel="0" collapsed="false">
      <c r="A618" s="26"/>
      <c r="B618" s="19" t="str">
        <f aca="false">IF(A618="","",A618+7-WEEKDAY(A618,1)+1)</f>
        <v/>
      </c>
      <c r="C618" s="28"/>
      <c r="D618" s="29"/>
      <c r="E618" s="28"/>
      <c r="F618" s="28"/>
      <c r="G618" s="30"/>
      <c r="H618" s="23" t="str">
        <f aca="false">IF(E618="","",IFERROR(INDEX(Lists!$C$2:$C$86,MATCH(E618,Lists!$A$2:$A$86,0)),"?"))</f>
        <v/>
      </c>
      <c r="I618" s="24" t="str">
        <f aca="false">IF(OR(C618="",E618=""),"",IF(H618="Yes",IFERROR(INDEX(Employees!$E$4:$E$43,MATCH(C618,Employees!$B$4:$B$43,0)),0),0))</f>
        <v/>
      </c>
      <c r="J618" s="25" t="str">
        <f aca="false">IF(G618="","",IF(H618="Yes",G618*I618,0))</f>
        <v/>
      </c>
      <c r="K618" s="25" t="str">
        <f aca="false">IF(OR(C618="",G618=""),"",G618*IFERROR(INDEX(Employees!$F$4:$F$43,MATCH(C618,Employees!$B$4:$B$43,0)),0))</f>
        <v/>
      </c>
      <c r="L618" s="28"/>
    </row>
    <row r="619" customFormat="false" ht="15" hidden="false" customHeight="false" outlineLevel="0" collapsed="false">
      <c r="A619" s="26"/>
      <c r="B619" s="27" t="str">
        <f aca="false">IF(A619="","",A619+7-WEEKDAY(A619,1)+1)</f>
        <v/>
      </c>
      <c r="C619" s="28"/>
      <c r="D619" s="29"/>
      <c r="E619" s="28"/>
      <c r="F619" s="28"/>
      <c r="G619" s="30"/>
      <c r="H619" s="31" t="str">
        <f aca="false">IF(E619="","",IFERROR(INDEX(Lists!$C$2:$C$86,MATCH(E619,Lists!$A$2:$A$86,0)),"?"))</f>
        <v/>
      </c>
      <c r="I619" s="32" t="str">
        <f aca="false">IF(OR(C619="",E619=""),"",IF(H619="Yes",IFERROR(INDEX(Employees!$E$4:$E$43,MATCH(C619,Employees!$B$4:$B$43,0)),0),0))</f>
        <v/>
      </c>
      <c r="J619" s="33" t="str">
        <f aca="false">IF(G619="","",IF(H619="Yes",G619*I619,0))</f>
        <v/>
      </c>
      <c r="K619" s="33" t="str">
        <f aca="false">IF(OR(C619="",G619=""),"",G619*IFERROR(INDEX(Employees!$F$4:$F$43,MATCH(C619,Employees!$B$4:$B$43,0)),0))</f>
        <v/>
      </c>
      <c r="L619" s="28"/>
    </row>
    <row r="620" customFormat="false" ht="15" hidden="false" customHeight="false" outlineLevel="0" collapsed="false">
      <c r="A620" s="26"/>
      <c r="B620" s="19" t="str">
        <f aca="false">IF(A620="","",A620+7-WEEKDAY(A620,1)+1)</f>
        <v/>
      </c>
      <c r="C620" s="28"/>
      <c r="D620" s="29"/>
      <c r="E620" s="28"/>
      <c r="F620" s="28"/>
      <c r="G620" s="30"/>
      <c r="H620" s="23" t="str">
        <f aca="false">IF(E620="","",IFERROR(INDEX(Lists!$C$2:$C$86,MATCH(E620,Lists!$A$2:$A$86,0)),"?"))</f>
        <v/>
      </c>
      <c r="I620" s="24" t="str">
        <f aca="false">IF(OR(C620="",E620=""),"",IF(H620="Yes",IFERROR(INDEX(Employees!$E$4:$E$43,MATCH(C620,Employees!$B$4:$B$43,0)),0),0))</f>
        <v/>
      </c>
      <c r="J620" s="25" t="str">
        <f aca="false">IF(G620="","",IF(H620="Yes",G620*I620,0))</f>
        <v/>
      </c>
      <c r="K620" s="25" t="str">
        <f aca="false">IF(OR(C620="",G620=""),"",G620*IFERROR(INDEX(Employees!$F$4:$F$43,MATCH(C620,Employees!$B$4:$B$43,0)),0))</f>
        <v/>
      </c>
      <c r="L620" s="28"/>
    </row>
    <row r="621" customFormat="false" ht="15" hidden="false" customHeight="false" outlineLevel="0" collapsed="false">
      <c r="A621" s="26"/>
      <c r="B621" s="27" t="str">
        <f aca="false">IF(A621="","",A621+7-WEEKDAY(A621,1)+1)</f>
        <v/>
      </c>
      <c r="C621" s="28"/>
      <c r="D621" s="29"/>
      <c r="E621" s="28"/>
      <c r="F621" s="28"/>
      <c r="G621" s="30"/>
      <c r="H621" s="31" t="str">
        <f aca="false">IF(E621="","",IFERROR(INDEX(Lists!$C$2:$C$86,MATCH(E621,Lists!$A$2:$A$86,0)),"?"))</f>
        <v/>
      </c>
      <c r="I621" s="32" t="str">
        <f aca="false">IF(OR(C621="",E621=""),"",IF(H621="Yes",IFERROR(INDEX(Employees!$E$4:$E$43,MATCH(C621,Employees!$B$4:$B$43,0)),0),0))</f>
        <v/>
      </c>
      <c r="J621" s="33" t="str">
        <f aca="false">IF(G621="","",IF(H621="Yes",G621*I621,0))</f>
        <v/>
      </c>
      <c r="K621" s="33" t="str">
        <f aca="false">IF(OR(C621="",G621=""),"",G621*IFERROR(INDEX(Employees!$F$4:$F$43,MATCH(C621,Employees!$B$4:$B$43,0)),0))</f>
        <v/>
      </c>
      <c r="L621" s="28"/>
    </row>
    <row r="622" customFormat="false" ht="15" hidden="false" customHeight="false" outlineLevel="0" collapsed="false">
      <c r="A622" s="26"/>
      <c r="B622" s="19" t="str">
        <f aca="false">IF(A622="","",A622+7-WEEKDAY(A622,1)+1)</f>
        <v/>
      </c>
      <c r="C622" s="28"/>
      <c r="D622" s="29"/>
      <c r="E622" s="28"/>
      <c r="F622" s="28"/>
      <c r="G622" s="30"/>
      <c r="H622" s="23" t="str">
        <f aca="false">IF(E622="","",IFERROR(INDEX(Lists!$C$2:$C$86,MATCH(E622,Lists!$A$2:$A$86,0)),"?"))</f>
        <v/>
      </c>
      <c r="I622" s="24" t="str">
        <f aca="false">IF(OR(C622="",E622=""),"",IF(H622="Yes",IFERROR(INDEX(Employees!$E$4:$E$43,MATCH(C622,Employees!$B$4:$B$43,0)),0),0))</f>
        <v/>
      </c>
      <c r="J622" s="25" t="str">
        <f aca="false">IF(G622="","",IF(H622="Yes",G622*I622,0))</f>
        <v/>
      </c>
      <c r="K622" s="25" t="str">
        <f aca="false">IF(OR(C622="",G622=""),"",G622*IFERROR(INDEX(Employees!$F$4:$F$43,MATCH(C622,Employees!$B$4:$B$43,0)),0))</f>
        <v/>
      </c>
      <c r="L622" s="28"/>
    </row>
    <row r="623" customFormat="false" ht="15" hidden="false" customHeight="false" outlineLevel="0" collapsed="false">
      <c r="A623" s="26"/>
      <c r="B623" s="27" t="str">
        <f aca="false">IF(A623="","",A623+7-WEEKDAY(A623,1)+1)</f>
        <v/>
      </c>
      <c r="C623" s="28"/>
      <c r="D623" s="29"/>
      <c r="E623" s="28"/>
      <c r="F623" s="28"/>
      <c r="G623" s="30"/>
      <c r="H623" s="31" t="str">
        <f aca="false">IF(E623="","",IFERROR(INDEX(Lists!$C$2:$C$86,MATCH(E623,Lists!$A$2:$A$86,0)),"?"))</f>
        <v/>
      </c>
      <c r="I623" s="32" t="str">
        <f aca="false">IF(OR(C623="",E623=""),"",IF(H623="Yes",IFERROR(INDEX(Employees!$E$4:$E$43,MATCH(C623,Employees!$B$4:$B$43,0)),0),0))</f>
        <v/>
      </c>
      <c r="J623" s="33" t="str">
        <f aca="false">IF(G623="","",IF(H623="Yes",G623*I623,0))</f>
        <v/>
      </c>
      <c r="K623" s="33" t="str">
        <f aca="false">IF(OR(C623="",G623=""),"",G623*IFERROR(INDEX(Employees!$F$4:$F$43,MATCH(C623,Employees!$B$4:$B$43,0)),0))</f>
        <v/>
      </c>
      <c r="L623" s="28"/>
    </row>
    <row r="624" customFormat="false" ht="15" hidden="false" customHeight="false" outlineLevel="0" collapsed="false">
      <c r="A624" s="26"/>
      <c r="B624" s="19" t="str">
        <f aca="false">IF(A624="","",A624+7-WEEKDAY(A624,1)+1)</f>
        <v/>
      </c>
      <c r="C624" s="28"/>
      <c r="D624" s="29"/>
      <c r="E624" s="28"/>
      <c r="F624" s="28"/>
      <c r="G624" s="30"/>
      <c r="H624" s="23" t="str">
        <f aca="false">IF(E624="","",IFERROR(INDEX(Lists!$C$2:$C$86,MATCH(E624,Lists!$A$2:$A$86,0)),"?"))</f>
        <v/>
      </c>
      <c r="I624" s="24" t="str">
        <f aca="false">IF(OR(C624="",E624=""),"",IF(H624="Yes",IFERROR(INDEX(Employees!$E$4:$E$43,MATCH(C624,Employees!$B$4:$B$43,0)),0),0))</f>
        <v/>
      </c>
      <c r="J624" s="25" t="str">
        <f aca="false">IF(G624="","",IF(H624="Yes",G624*I624,0))</f>
        <v/>
      </c>
      <c r="K624" s="25" t="str">
        <f aca="false">IF(OR(C624="",G624=""),"",G624*IFERROR(INDEX(Employees!$F$4:$F$43,MATCH(C624,Employees!$B$4:$B$43,0)),0))</f>
        <v/>
      </c>
      <c r="L624" s="28"/>
    </row>
    <row r="625" customFormat="false" ht="15" hidden="false" customHeight="false" outlineLevel="0" collapsed="false">
      <c r="A625" s="26"/>
      <c r="B625" s="27" t="str">
        <f aca="false">IF(A625="","",A625+7-WEEKDAY(A625,1)+1)</f>
        <v/>
      </c>
      <c r="C625" s="28"/>
      <c r="D625" s="29"/>
      <c r="E625" s="28"/>
      <c r="F625" s="28"/>
      <c r="G625" s="30"/>
      <c r="H625" s="31" t="str">
        <f aca="false">IF(E625="","",IFERROR(INDEX(Lists!$C$2:$C$86,MATCH(E625,Lists!$A$2:$A$86,0)),"?"))</f>
        <v/>
      </c>
      <c r="I625" s="32" t="str">
        <f aca="false">IF(OR(C625="",E625=""),"",IF(H625="Yes",IFERROR(INDEX(Employees!$E$4:$E$43,MATCH(C625,Employees!$B$4:$B$43,0)),0),0))</f>
        <v/>
      </c>
      <c r="J625" s="33" t="str">
        <f aca="false">IF(G625="","",IF(H625="Yes",G625*I625,0))</f>
        <v/>
      </c>
      <c r="K625" s="33" t="str">
        <f aca="false">IF(OR(C625="",G625=""),"",G625*IFERROR(INDEX(Employees!$F$4:$F$43,MATCH(C625,Employees!$B$4:$B$43,0)),0))</f>
        <v/>
      </c>
      <c r="L625" s="28"/>
    </row>
    <row r="626" customFormat="false" ht="15" hidden="false" customHeight="false" outlineLevel="0" collapsed="false">
      <c r="A626" s="26"/>
      <c r="B626" s="19" t="str">
        <f aca="false">IF(A626="","",A626+7-WEEKDAY(A626,1)+1)</f>
        <v/>
      </c>
      <c r="C626" s="28"/>
      <c r="D626" s="29"/>
      <c r="E626" s="28"/>
      <c r="F626" s="28"/>
      <c r="G626" s="30"/>
      <c r="H626" s="23" t="str">
        <f aca="false">IF(E626="","",IFERROR(INDEX(Lists!$C$2:$C$86,MATCH(E626,Lists!$A$2:$A$86,0)),"?"))</f>
        <v/>
      </c>
      <c r="I626" s="24" t="str">
        <f aca="false">IF(OR(C626="",E626=""),"",IF(H626="Yes",IFERROR(INDEX(Employees!$E$4:$E$43,MATCH(C626,Employees!$B$4:$B$43,0)),0),0))</f>
        <v/>
      </c>
      <c r="J626" s="25" t="str">
        <f aca="false">IF(G626="","",IF(H626="Yes",G626*I626,0))</f>
        <v/>
      </c>
      <c r="K626" s="25" t="str">
        <f aca="false">IF(OR(C626="",G626=""),"",G626*IFERROR(INDEX(Employees!$F$4:$F$43,MATCH(C626,Employees!$B$4:$B$43,0)),0))</f>
        <v/>
      </c>
      <c r="L626" s="28"/>
    </row>
    <row r="627" customFormat="false" ht="15" hidden="false" customHeight="false" outlineLevel="0" collapsed="false">
      <c r="A627" s="26"/>
      <c r="B627" s="27" t="str">
        <f aca="false">IF(A627="","",A627+7-WEEKDAY(A627,1)+1)</f>
        <v/>
      </c>
      <c r="C627" s="28"/>
      <c r="D627" s="29"/>
      <c r="E627" s="28"/>
      <c r="F627" s="28"/>
      <c r="G627" s="30"/>
      <c r="H627" s="31" t="str">
        <f aca="false">IF(E627="","",IFERROR(INDEX(Lists!$C$2:$C$86,MATCH(E627,Lists!$A$2:$A$86,0)),"?"))</f>
        <v/>
      </c>
      <c r="I627" s="32" t="str">
        <f aca="false">IF(OR(C627="",E627=""),"",IF(H627="Yes",IFERROR(INDEX(Employees!$E$4:$E$43,MATCH(C627,Employees!$B$4:$B$43,0)),0),0))</f>
        <v/>
      </c>
      <c r="J627" s="33" t="str">
        <f aca="false">IF(G627="","",IF(H627="Yes",G627*I627,0))</f>
        <v/>
      </c>
      <c r="K627" s="33" t="str">
        <f aca="false">IF(OR(C627="",G627=""),"",G627*IFERROR(INDEX(Employees!$F$4:$F$43,MATCH(C627,Employees!$B$4:$B$43,0)),0))</f>
        <v/>
      </c>
      <c r="L627" s="28"/>
    </row>
    <row r="628" customFormat="false" ht="15" hidden="false" customHeight="false" outlineLevel="0" collapsed="false">
      <c r="A628" s="26"/>
      <c r="B628" s="19" t="str">
        <f aca="false">IF(A628="","",A628+7-WEEKDAY(A628,1)+1)</f>
        <v/>
      </c>
      <c r="C628" s="28"/>
      <c r="D628" s="29"/>
      <c r="E628" s="28"/>
      <c r="F628" s="28"/>
      <c r="G628" s="30"/>
      <c r="H628" s="23" t="str">
        <f aca="false">IF(E628="","",IFERROR(INDEX(Lists!$C$2:$C$86,MATCH(E628,Lists!$A$2:$A$86,0)),"?"))</f>
        <v/>
      </c>
      <c r="I628" s="24" t="str">
        <f aca="false">IF(OR(C628="",E628=""),"",IF(H628="Yes",IFERROR(INDEX(Employees!$E$4:$E$43,MATCH(C628,Employees!$B$4:$B$43,0)),0),0))</f>
        <v/>
      </c>
      <c r="J628" s="25" t="str">
        <f aca="false">IF(G628="","",IF(H628="Yes",G628*I628,0))</f>
        <v/>
      </c>
      <c r="K628" s="25" t="str">
        <f aca="false">IF(OR(C628="",G628=""),"",G628*IFERROR(INDEX(Employees!$F$4:$F$43,MATCH(C628,Employees!$B$4:$B$43,0)),0))</f>
        <v/>
      </c>
      <c r="L628" s="28"/>
    </row>
    <row r="629" customFormat="false" ht="15" hidden="false" customHeight="false" outlineLevel="0" collapsed="false">
      <c r="A629" s="26"/>
      <c r="B629" s="27" t="str">
        <f aca="false">IF(A629="","",A629+7-WEEKDAY(A629,1)+1)</f>
        <v/>
      </c>
      <c r="C629" s="28"/>
      <c r="D629" s="29"/>
      <c r="E629" s="28"/>
      <c r="F629" s="28"/>
      <c r="G629" s="30"/>
      <c r="H629" s="31" t="str">
        <f aca="false">IF(E629="","",IFERROR(INDEX(Lists!$C$2:$C$86,MATCH(E629,Lists!$A$2:$A$86,0)),"?"))</f>
        <v/>
      </c>
      <c r="I629" s="32" t="str">
        <f aca="false">IF(OR(C629="",E629=""),"",IF(H629="Yes",IFERROR(INDEX(Employees!$E$4:$E$43,MATCH(C629,Employees!$B$4:$B$43,0)),0),0))</f>
        <v/>
      </c>
      <c r="J629" s="33" t="str">
        <f aca="false">IF(G629="","",IF(H629="Yes",G629*I629,0))</f>
        <v/>
      </c>
      <c r="K629" s="33" t="str">
        <f aca="false">IF(OR(C629="",G629=""),"",G629*IFERROR(INDEX(Employees!$F$4:$F$43,MATCH(C629,Employees!$B$4:$B$43,0)),0))</f>
        <v/>
      </c>
      <c r="L629" s="28"/>
    </row>
    <row r="630" customFormat="false" ht="15" hidden="false" customHeight="false" outlineLevel="0" collapsed="false">
      <c r="A630" s="26"/>
      <c r="B630" s="19" t="str">
        <f aca="false">IF(A630="","",A630+7-WEEKDAY(A630,1)+1)</f>
        <v/>
      </c>
      <c r="C630" s="28"/>
      <c r="D630" s="29"/>
      <c r="E630" s="28"/>
      <c r="F630" s="28"/>
      <c r="G630" s="30"/>
      <c r="H630" s="23" t="str">
        <f aca="false">IF(E630="","",IFERROR(INDEX(Lists!$C$2:$C$86,MATCH(E630,Lists!$A$2:$A$86,0)),"?"))</f>
        <v/>
      </c>
      <c r="I630" s="24" t="str">
        <f aca="false">IF(OR(C630="",E630=""),"",IF(H630="Yes",IFERROR(INDEX(Employees!$E$4:$E$43,MATCH(C630,Employees!$B$4:$B$43,0)),0),0))</f>
        <v/>
      </c>
      <c r="J630" s="25" t="str">
        <f aca="false">IF(G630="","",IF(H630="Yes",G630*I630,0))</f>
        <v/>
      </c>
      <c r="K630" s="25" t="str">
        <f aca="false">IF(OR(C630="",G630=""),"",G630*IFERROR(INDEX(Employees!$F$4:$F$43,MATCH(C630,Employees!$B$4:$B$43,0)),0))</f>
        <v/>
      </c>
      <c r="L630" s="28"/>
    </row>
    <row r="631" customFormat="false" ht="15" hidden="false" customHeight="false" outlineLevel="0" collapsed="false">
      <c r="A631" s="26"/>
      <c r="B631" s="27" t="str">
        <f aca="false">IF(A631="","",A631+7-WEEKDAY(A631,1)+1)</f>
        <v/>
      </c>
      <c r="C631" s="28"/>
      <c r="D631" s="29"/>
      <c r="E631" s="28"/>
      <c r="F631" s="28"/>
      <c r="G631" s="30"/>
      <c r="H631" s="31" t="str">
        <f aca="false">IF(E631="","",IFERROR(INDEX(Lists!$C$2:$C$86,MATCH(E631,Lists!$A$2:$A$86,0)),"?"))</f>
        <v/>
      </c>
      <c r="I631" s="32" t="str">
        <f aca="false">IF(OR(C631="",E631=""),"",IF(H631="Yes",IFERROR(INDEX(Employees!$E$4:$E$43,MATCH(C631,Employees!$B$4:$B$43,0)),0),0))</f>
        <v/>
      </c>
      <c r="J631" s="33" t="str">
        <f aca="false">IF(G631="","",IF(H631="Yes",G631*I631,0))</f>
        <v/>
      </c>
      <c r="K631" s="33" t="str">
        <f aca="false">IF(OR(C631="",G631=""),"",G631*IFERROR(INDEX(Employees!$F$4:$F$43,MATCH(C631,Employees!$B$4:$B$43,0)),0))</f>
        <v/>
      </c>
      <c r="L631" s="28"/>
    </row>
    <row r="632" customFormat="false" ht="15" hidden="false" customHeight="false" outlineLevel="0" collapsed="false">
      <c r="A632" s="26"/>
      <c r="B632" s="19" t="str">
        <f aca="false">IF(A632="","",A632+7-WEEKDAY(A632,1)+1)</f>
        <v/>
      </c>
      <c r="C632" s="28"/>
      <c r="D632" s="29"/>
      <c r="E632" s="28"/>
      <c r="F632" s="28"/>
      <c r="G632" s="30"/>
      <c r="H632" s="23" t="str">
        <f aca="false">IF(E632="","",IFERROR(INDEX(Lists!$C$2:$C$86,MATCH(E632,Lists!$A$2:$A$86,0)),"?"))</f>
        <v/>
      </c>
      <c r="I632" s="24" t="str">
        <f aca="false">IF(OR(C632="",E632=""),"",IF(H632="Yes",IFERROR(INDEX(Employees!$E$4:$E$43,MATCH(C632,Employees!$B$4:$B$43,0)),0),0))</f>
        <v/>
      </c>
      <c r="J632" s="25" t="str">
        <f aca="false">IF(G632="","",IF(H632="Yes",G632*I632,0))</f>
        <v/>
      </c>
      <c r="K632" s="25" t="str">
        <f aca="false">IF(OR(C632="",G632=""),"",G632*IFERROR(INDEX(Employees!$F$4:$F$43,MATCH(C632,Employees!$B$4:$B$43,0)),0))</f>
        <v/>
      </c>
      <c r="L632" s="28"/>
    </row>
    <row r="633" customFormat="false" ht="15" hidden="false" customHeight="false" outlineLevel="0" collapsed="false">
      <c r="A633" s="26"/>
      <c r="B633" s="27" t="str">
        <f aca="false">IF(A633="","",A633+7-WEEKDAY(A633,1)+1)</f>
        <v/>
      </c>
      <c r="C633" s="28"/>
      <c r="D633" s="29"/>
      <c r="E633" s="28"/>
      <c r="F633" s="28"/>
      <c r="G633" s="30"/>
      <c r="H633" s="31" t="str">
        <f aca="false">IF(E633="","",IFERROR(INDEX(Lists!$C$2:$C$86,MATCH(E633,Lists!$A$2:$A$86,0)),"?"))</f>
        <v/>
      </c>
      <c r="I633" s="32" t="str">
        <f aca="false">IF(OR(C633="",E633=""),"",IF(H633="Yes",IFERROR(INDEX(Employees!$E$4:$E$43,MATCH(C633,Employees!$B$4:$B$43,0)),0),0))</f>
        <v/>
      </c>
      <c r="J633" s="33" t="str">
        <f aca="false">IF(G633="","",IF(H633="Yes",G633*I633,0))</f>
        <v/>
      </c>
      <c r="K633" s="33" t="str">
        <f aca="false">IF(OR(C633="",G633=""),"",G633*IFERROR(INDEX(Employees!$F$4:$F$43,MATCH(C633,Employees!$B$4:$B$43,0)),0))</f>
        <v/>
      </c>
      <c r="L633" s="28"/>
    </row>
    <row r="634" customFormat="false" ht="15" hidden="false" customHeight="false" outlineLevel="0" collapsed="false">
      <c r="A634" s="26"/>
      <c r="B634" s="19" t="str">
        <f aca="false">IF(A634="","",A634+7-WEEKDAY(A634,1)+1)</f>
        <v/>
      </c>
      <c r="C634" s="28"/>
      <c r="D634" s="29"/>
      <c r="E634" s="28"/>
      <c r="F634" s="28"/>
      <c r="G634" s="30"/>
      <c r="H634" s="23" t="str">
        <f aca="false">IF(E634="","",IFERROR(INDEX(Lists!$C$2:$C$86,MATCH(E634,Lists!$A$2:$A$86,0)),"?"))</f>
        <v/>
      </c>
      <c r="I634" s="24" t="str">
        <f aca="false">IF(OR(C634="",E634=""),"",IF(H634="Yes",IFERROR(INDEX(Employees!$E$4:$E$43,MATCH(C634,Employees!$B$4:$B$43,0)),0),0))</f>
        <v/>
      </c>
      <c r="J634" s="25" t="str">
        <f aca="false">IF(G634="","",IF(H634="Yes",G634*I634,0))</f>
        <v/>
      </c>
      <c r="K634" s="25" t="str">
        <f aca="false">IF(OR(C634="",G634=""),"",G634*IFERROR(INDEX(Employees!$F$4:$F$43,MATCH(C634,Employees!$B$4:$B$43,0)),0))</f>
        <v/>
      </c>
      <c r="L634" s="28"/>
    </row>
    <row r="635" customFormat="false" ht="15" hidden="false" customHeight="false" outlineLevel="0" collapsed="false">
      <c r="A635" s="26"/>
      <c r="B635" s="27" t="str">
        <f aca="false">IF(A635="","",A635+7-WEEKDAY(A635,1)+1)</f>
        <v/>
      </c>
      <c r="C635" s="28"/>
      <c r="D635" s="29"/>
      <c r="E635" s="28"/>
      <c r="F635" s="28"/>
      <c r="G635" s="30"/>
      <c r="H635" s="31" t="str">
        <f aca="false">IF(E635="","",IFERROR(INDEX(Lists!$C$2:$C$86,MATCH(E635,Lists!$A$2:$A$86,0)),"?"))</f>
        <v/>
      </c>
      <c r="I635" s="32" t="str">
        <f aca="false">IF(OR(C635="",E635=""),"",IF(H635="Yes",IFERROR(INDEX(Employees!$E$4:$E$43,MATCH(C635,Employees!$B$4:$B$43,0)),0),0))</f>
        <v/>
      </c>
      <c r="J635" s="33" t="str">
        <f aca="false">IF(G635="","",IF(H635="Yes",G635*I635,0))</f>
        <v/>
      </c>
      <c r="K635" s="33" t="str">
        <f aca="false">IF(OR(C635="",G635=""),"",G635*IFERROR(INDEX(Employees!$F$4:$F$43,MATCH(C635,Employees!$B$4:$B$43,0)),0))</f>
        <v/>
      </c>
      <c r="L635" s="28"/>
    </row>
    <row r="636" customFormat="false" ht="15" hidden="false" customHeight="false" outlineLevel="0" collapsed="false">
      <c r="A636" s="26"/>
      <c r="B636" s="19" t="str">
        <f aca="false">IF(A636="","",A636+7-WEEKDAY(A636,1)+1)</f>
        <v/>
      </c>
      <c r="C636" s="28"/>
      <c r="D636" s="29"/>
      <c r="E636" s="28"/>
      <c r="F636" s="28"/>
      <c r="G636" s="30"/>
      <c r="H636" s="23" t="str">
        <f aca="false">IF(E636="","",IFERROR(INDEX(Lists!$C$2:$C$86,MATCH(E636,Lists!$A$2:$A$86,0)),"?"))</f>
        <v/>
      </c>
      <c r="I636" s="24" t="str">
        <f aca="false">IF(OR(C636="",E636=""),"",IF(H636="Yes",IFERROR(INDEX(Employees!$E$4:$E$43,MATCH(C636,Employees!$B$4:$B$43,0)),0),0))</f>
        <v/>
      </c>
      <c r="J636" s="25" t="str">
        <f aca="false">IF(G636="","",IF(H636="Yes",G636*I636,0))</f>
        <v/>
      </c>
      <c r="K636" s="25" t="str">
        <f aca="false">IF(OR(C636="",G636=""),"",G636*IFERROR(INDEX(Employees!$F$4:$F$43,MATCH(C636,Employees!$B$4:$B$43,0)),0))</f>
        <v/>
      </c>
      <c r="L636" s="28"/>
    </row>
    <row r="637" customFormat="false" ht="15" hidden="false" customHeight="false" outlineLevel="0" collapsed="false">
      <c r="A637" s="26"/>
      <c r="B637" s="27" t="str">
        <f aca="false">IF(A637="","",A637+7-WEEKDAY(A637,1)+1)</f>
        <v/>
      </c>
      <c r="C637" s="28"/>
      <c r="D637" s="29"/>
      <c r="E637" s="28"/>
      <c r="F637" s="28"/>
      <c r="G637" s="30"/>
      <c r="H637" s="31" t="str">
        <f aca="false">IF(E637="","",IFERROR(INDEX(Lists!$C$2:$C$86,MATCH(E637,Lists!$A$2:$A$86,0)),"?"))</f>
        <v/>
      </c>
      <c r="I637" s="32" t="str">
        <f aca="false">IF(OR(C637="",E637=""),"",IF(H637="Yes",IFERROR(INDEX(Employees!$E$4:$E$43,MATCH(C637,Employees!$B$4:$B$43,0)),0),0))</f>
        <v/>
      </c>
      <c r="J637" s="33" t="str">
        <f aca="false">IF(G637="","",IF(H637="Yes",G637*I637,0))</f>
        <v/>
      </c>
      <c r="K637" s="33" t="str">
        <f aca="false">IF(OR(C637="",G637=""),"",G637*IFERROR(INDEX(Employees!$F$4:$F$43,MATCH(C637,Employees!$B$4:$B$43,0)),0))</f>
        <v/>
      </c>
      <c r="L637" s="28"/>
    </row>
    <row r="638" customFormat="false" ht="15" hidden="false" customHeight="false" outlineLevel="0" collapsed="false">
      <c r="A638" s="26"/>
      <c r="B638" s="19" t="str">
        <f aca="false">IF(A638="","",A638+7-WEEKDAY(A638,1)+1)</f>
        <v/>
      </c>
      <c r="C638" s="28"/>
      <c r="D638" s="29"/>
      <c r="E638" s="28"/>
      <c r="F638" s="28"/>
      <c r="G638" s="30"/>
      <c r="H638" s="23" t="str">
        <f aca="false">IF(E638="","",IFERROR(INDEX(Lists!$C$2:$C$86,MATCH(E638,Lists!$A$2:$A$86,0)),"?"))</f>
        <v/>
      </c>
      <c r="I638" s="24" t="str">
        <f aca="false">IF(OR(C638="",E638=""),"",IF(H638="Yes",IFERROR(INDEX(Employees!$E$4:$E$43,MATCH(C638,Employees!$B$4:$B$43,0)),0),0))</f>
        <v/>
      </c>
      <c r="J638" s="25" t="str">
        <f aca="false">IF(G638="","",IF(H638="Yes",G638*I638,0))</f>
        <v/>
      </c>
      <c r="K638" s="25" t="str">
        <f aca="false">IF(OR(C638="",G638=""),"",G638*IFERROR(INDEX(Employees!$F$4:$F$43,MATCH(C638,Employees!$B$4:$B$43,0)),0))</f>
        <v/>
      </c>
      <c r="L638" s="28"/>
    </row>
    <row r="639" customFormat="false" ht="15" hidden="false" customHeight="false" outlineLevel="0" collapsed="false">
      <c r="A639" s="26"/>
      <c r="B639" s="27" t="str">
        <f aca="false">IF(A639="","",A639+7-WEEKDAY(A639,1)+1)</f>
        <v/>
      </c>
      <c r="C639" s="28"/>
      <c r="D639" s="29"/>
      <c r="E639" s="28"/>
      <c r="F639" s="28"/>
      <c r="G639" s="30"/>
      <c r="H639" s="31" t="str">
        <f aca="false">IF(E639="","",IFERROR(INDEX(Lists!$C$2:$C$86,MATCH(E639,Lists!$A$2:$A$86,0)),"?"))</f>
        <v/>
      </c>
      <c r="I639" s="32" t="str">
        <f aca="false">IF(OR(C639="",E639=""),"",IF(H639="Yes",IFERROR(INDEX(Employees!$E$4:$E$43,MATCH(C639,Employees!$B$4:$B$43,0)),0),0))</f>
        <v/>
      </c>
      <c r="J639" s="33" t="str">
        <f aca="false">IF(G639="","",IF(H639="Yes",G639*I639,0))</f>
        <v/>
      </c>
      <c r="K639" s="33" t="str">
        <f aca="false">IF(OR(C639="",G639=""),"",G639*IFERROR(INDEX(Employees!$F$4:$F$43,MATCH(C639,Employees!$B$4:$B$43,0)),0))</f>
        <v/>
      </c>
      <c r="L639" s="28"/>
    </row>
    <row r="640" customFormat="false" ht="15" hidden="false" customHeight="false" outlineLevel="0" collapsed="false">
      <c r="A640" s="26"/>
      <c r="B640" s="19" t="str">
        <f aca="false">IF(A640="","",A640+7-WEEKDAY(A640,1)+1)</f>
        <v/>
      </c>
      <c r="C640" s="28"/>
      <c r="D640" s="29"/>
      <c r="E640" s="28"/>
      <c r="F640" s="28"/>
      <c r="G640" s="30"/>
      <c r="H640" s="23" t="str">
        <f aca="false">IF(E640="","",IFERROR(INDEX(Lists!$C$2:$C$86,MATCH(E640,Lists!$A$2:$A$86,0)),"?"))</f>
        <v/>
      </c>
      <c r="I640" s="24" t="str">
        <f aca="false">IF(OR(C640="",E640=""),"",IF(H640="Yes",IFERROR(INDEX(Employees!$E$4:$E$43,MATCH(C640,Employees!$B$4:$B$43,0)),0),0))</f>
        <v/>
      </c>
      <c r="J640" s="25" t="str">
        <f aca="false">IF(G640="","",IF(H640="Yes",G640*I640,0))</f>
        <v/>
      </c>
      <c r="K640" s="25" t="str">
        <f aca="false">IF(OR(C640="",G640=""),"",G640*IFERROR(INDEX(Employees!$F$4:$F$43,MATCH(C640,Employees!$B$4:$B$43,0)),0))</f>
        <v/>
      </c>
      <c r="L640" s="28"/>
    </row>
    <row r="641" customFormat="false" ht="15" hidden="false" customHeight="false" outlineLevel="0" collapsed="false">
      <c r="A641" s="26"/>
      <c r="B641" s="27" t="str">
        <f aca="false">IF(A641="","",A641+7-WEEKDAY(A641,1)+1)</f>
        <v/>
      </c>
      <c r="C641" s="28"/>
      <c r="D641" s="29"/>
      <c r="E641" s="28"/>
      <c r="F641" s="28"/>
      <c r="G641" s="30"/>
      <c r="H641" s="31" t="str">
        <f aca="false">IF(E641="","",IFERROR(INDEX(Lists!$C$2:$C$86,MATCH(E641,Lists!$A$2:$A$86,0)),"?"))</f>
        <v/>
      </c>
      <c r="I641" s="32" t="str">
        <f aca="false">IF(OR(C641="",E641=""),"",IF(H641="Yes",IFERROR(INDEX(Employees!$E$4:$E$43,MATCH(C641,Employees!$B$4:$B$43,0)),0),0))</f>
        <v/>
      </c>
      <c r="J641" s="33" t="str">
        <f aca="false">IF(G641="","",IF(H641="Yes",G641*I641,0))</f>
        <v/>
      </c>
      <c r="K641" s="33" t="str">
        <f aca="false">IF(OR(C641="",G641=""),"",G641*IFERROR(INDEX(Employees!$F$4:$F$43,MATCH(C641,Employees!$B$4:$B$43,0)),0))</f>
        <v/>
      </c>
      <c r="L641" s="28"/>
    </row>
    <row r="642" customFormat="false" ht="15" hidden="false" customHeight="false" outlineLevel="0" collapsed="false">
      <c r="A642" s="26"/>
      <c r="B642" s="19" t="str">
        <f aca="false">IF(A642="","",A642+7-WEEKDAY(A642,1)+1)</f>
        <v/>
      </c>
      <c r="C642" s="28"/>
      <c r="D642" s="29"/>
      <c r="E642" s="28"/>
      <c r="F642" s="28"/>
      <c r="G642" s="30"/>
      <c r="H642" s="23" t="str">
        <f aca="false">IF(E642="","",IFERROR(INDEX(Lists!$C$2:$C$86,MATCH(E642,Lists!$A$2:$A$86,0)),"?"))</f>
        <v/>
      </c>
      <c r="I642" s="24" t="str">
        <f aca="false">IF(OR(C642="",E642=""),"",IF(H642="Yes",IFERROR(INDEX(Employees!$E$4:$E$43,MATCH(C642,Employees!$B$4:$B$43,0)),0),0))</f>
        <v/>
      </c>
      <c r="J642" s="25" t="str">
        <f aca="false">IF(G642="","",IF(H642="Yes",G642*I642,0))</f>
        <v/>
      </c>
      <c r="K642" s="25" t="str">
        <f aca="false">IF(OR(C642="",G642=""),"",G642*IFERROR(INDEX(Employees!$F$4:$F$43,MATCH(C642,Employees!$B$4:$B$43,0)),0))</f>
        <v/>
      </c>
      <c r="L642" s="28"/>
    </row>
    <row r="643" customFormat="false" ht="15" hidden="false" customHeight="false" outlineLevel="0" collapsed="false">
      <c r="A643" s="26"/>
      <c r="B643" s="27" t="str">
        <f aca="false">IF(A643="","",A643+7-WEEKDAY(A643,1)+1)</f>
        <v/>
      </c>
      <c r="C643" s="28"/>
      <c r="D643" s="29"/>
      <c r="E643" s="28"/>
      <c r="F643" s="28"/>
      <c r="G643" s="30"/>
      <c r="H643" s="31" t="str">
        <f aca="false">IF(E643="","",IFERROR(INDEX(Lists!$C$2:$C$86,MATCH(E643,Lists!$A$2:$A$86,0)),"?"))</f>
        <v/>
      </c>
      <c r="I643" s="32" t="str">
        <f aca="false">IF(OR(C643="",E643=""),"",IF(H643="Yes",IFERROR(INDEX(Employees!$E$4:$E$43,MATCH(C643,Employees!$B$4:$B$43,0)),0),0))</f>
        <v/>
      </c>
      <c r="J643" s="33" t="str">
        <f aca="false">IF(G643="","",IF(H643="Yes",G643*I643,0))</f>
        <v/>
      </c>
      <c r="K643" s="33" t="str">
        <f aca="false">IF(OR(C643="",G643=""),"",G643*IFERROR(INDEX(Employees!$F$4:$F$43,MATCH(C643,Employees!$B$4:$B$43,0)),0))</f>
        <v/>
      </c>
      <c r="L643" s="28"/>
    </row>
    <row r="644" customFormat="false" ht="15" hidden="false" customHeight="false" outlineLevel="0" collapsed="false">
      <c r="A644" s="26"/>
      <c r="B644" s="19" t="str">
        <f aca="false">IF(A644="","",A644+7-WEEKDAY(A644,1)+1)</f>
        <v/>
      </c>
      <c r="C644" s="28"/>
      <c r="D644" s="29"/>
      <c r="E644" s="28"/>
      <c r="F644" s="28"/>
      <c r="G644" s="30"/>
      <c r="H644" s="23" t="str">
        <f aca="false">IF(E644="","",IFERROR(INDEX(Lists!$C$2:$C$86,MATCH(E644,Lists!$A$2:$A$86,0)),"?"))</f>
        <v/>
      </c>
      <c r="I644" s="24" t="str">
        <f aca="false">IF(OR(C644="",E644=""),"",IF(H644="Yes",IFERROR(INDEX(Employees!$E$4:$E$43,MATCH(C644,Employees!$B$4:$B$43,0)),0),0))</f>
        <v/>
      </c>
      <c r="J644" s="25" t="str">
        <f aca="false">IF(G644="","",IF(H644="Yes",G644*I644,0))</f>
        <v/>
      </c>
      <c r="K644" s="25" t="str">
        <f aca="false">IF(OR(C644="",G644=""),"",G644*IFERROR(INDEX(Employees!$F$4:$F$43,MATCH(C644,Employees!$B$4:$B$43,0)),0))</f>
        <v/>
      </c>
      <c r="L644" s="28"/>
    </row>
    <row r="645" customFormat="false" ht="15" hidden="false" customHeight="false" outlineLevel="0" collapsed="false">
      <c r="A645" s="26"/>
      <c r="B645" s="27" t="str">
        <f aca="false">IF(A645="","",A645+7-WEEKDAY(A645,1)+1)</f>
        <v/>
      </c>
      <c r="C645" s="28"/>
      <c r="D645" s="29"/>
      <c r="E645" s="28"/>
      <c r="F645" s="28"/>
      <c r="G645" s="30"/>
      <c r="H645" s="31" t="str">
        <f aca="false">IF(E645="","",IFERROR(INDEX(Lists!$C$2:$C$86,MATCH(E645,Lists!$A$2:$A$86,0)),"?"))</f>
        <v/>
      </c>
      <c r="I645" s="32" t="str">
        <f aca="false">IF(OR(C645="",E645=""),"",IF(H645="Yes",IFERROR(INDEX(Employees!$E$4:$E$43,MATCH(C645,Employees!$B$4:$B$43,0)),0),0))</f>
        <v/>
      </c>
      <c r="J645" s="33" t="str">
        <f aca="false">IF(G645="","",IF(H645="Yes",G645*I645,0))</f>
        <v/>
      </c>
      <c r="K645" s="33" t="str">
        <f aca="false">IF(OR(C645="",G645=""),"",G645*IFERROR(INDEX(Employees!$F$4:$F$43,MATCH(C645,Employees!$B$4:$B$43,0)),0))</f>
        <v/>
      </c>
      <c r="L645" s="28"/>
    </row>
    <row r="646" customFormat="false" ht="15" hidden="false" customHeight="false" outlineLevel="0" collapsed="false">
      <c r="A646" s="26"/>
      <c r="B646" s="19" t="str">
        <f aca="false">IF(A646="","",A646+7-WEEKDAY(A646,1)+1)</f>
        <v/>
      </c>
      <c r="C646" s="28"/>
      <c r="D646" s="29"/>
      <c r="E646" s="28"/>
      <c r="F646" s="28"/>
      <c r="G646" s="30"/>
      <c r="H646" s="23" t="str">
        <f aca="false">IF(E646="","",IFERROR(INDEX(Lists!$C$2:$C$86,MATCH(E646,Lists!$A$2:$A$86,0)),"?"))</f>
        <v/>
      </c>
      <c r="I646" s="24" t="str">
        <f aca="false">IF(OR(C646="",E646=""),"",IF(H646="Yes",IFERROR(INDEX(Employees!$E$4:$E$43,MATCH(C646,Employees!$B$4:$B$43,0)),0),0))</f>
        <v/>
      </c>
      <c r="J646" s="25" t="str">
        <f aca="false">IF(G646="","",IF(H646="Yes",G646*I646,0))</f>
        <v/>
      </c>
      <c r="K646" s="25" t="str">
        <f aca="false">IF(OR(C646="",G646=""),"",G646*IFERROR(INDEX(Employees!$F$4:$F$43,MATCH(C646,Employees!$B$4:$B$43,0)),0))</f>
        <v/>
      </c>
      <c r="L646" s="28"/>
    </row>
    <row r="647" customFormat="false" ht="15" hidden="false" customHeight="false" outlineLevel="0" collapsed="false">
      <c r="A647" s="26"/>
      <c r="B647" s="27" t="str">
        <f aca="false">IF(A647="","",A647+7-WEEKDAY(A647,1)+1)</f>
        <v/>
      </c>
      <c r="C647" s="28"/>
      <c r="D647" s="29"/>
      <c r="E647" s="28"/>
      <c r="F647" s="28"/>
      <c r="G647" s="30"/>
      <c r="H647" s="31" t="str">
        <f aca="false">IF(E647="","",IFERROR(INDEX(Lists!$C$2:$C$86,MATCH(E647,Lists!$A$2:$A$86,0)),"?"))</f>
        <v/>
      </c>
      <c r="I647" s="32" t="str">
        <f aca="false">IF(OR(C647="",E647=""),"",IF(H647="Yes",IFERROR(INDEX(Employees!$E$4:$E$43,MATCH(C647,Employees!$B$4:$B$43,0)),0),0))</f>
        <v/>
      </c>
      <c r="J647" s="33" t="str">
        <f aca="false">IF(G647="","",IF(H647="Yes",G647*I647,0))</f>
        <v/>
      </c>
      <c r="K647" s="33" t="str">
        <f aca="false">IF(OR(C647="",G647=""),"",G647*IFERROR(INDEX(Employees!$F$4:$F$43,MATCH(C647,Employees!$B$4:$B$43,0)),0))</f>
        <v/>
      </c>
      <c r="L647" s="28"/>
    </row>
    <row r="648" customFormat="false" ht="15" hidden="false" customHeight="false" outlineLevel="0" collapsed="false">
      <c r="A648" s="26"/>
      <c r="B648" s="19" t="str">
        <f aca="false">IF(A648="","",A648+7-WEEKDAY(A648,1)+1)</f>
        <v/>
      </c>
      <c r="C648" s="28"/>
      <c r="D648" s="29"/>
      <c r="E648" s="28"/>
      <c r="F648" s="28"/>
      <c r="G648" s="30"/>
      <c r="H648" s="23" t="str">
        <f aca="false">IF(E648="","",IFERROR(INDEX(Lists!$C$2:$C$86,MATCH(E648,Lists!$A$2:$A$86,0)),"?"))</f>
        <v/>
      </c>
      <c r="I648" s="24" t="str">
        <f aca="false">IF(OR(C648="",E648=""),"",IF(H648="Yes",IFERROR(INDEX(Employees!$E$4:$E$43,MATCH(C648,Employees!$B$4:$B$43,0)),0),0))</f>
        <v/>
      </c>
      <c r="J648" s="25" t="str">
        <f aca="false">IF(G648="","",IF(H648="Yes",G648*I648,0))</f>
        <v/>
      </c>
      <c r="K648" s="25" t="str">
        <f aca="false">IF(OR(C648="",G648=""),"",G648*IFERROR(INDEX(Employees!$F$4:$F$43,MATCH(C648,Employees!$B$4:$B$43,0)),0))</f>
        <v/>
      </c>
      <c r="L648" s="28"/>
    </row>
    <row r="649" customFormat="false" ht="15" hidden="false" customHeight="false" outlineLevel="0" collapsed="false">
      <c r="A649" s="26"/>
      <c r="B649" s="27" t="str">
        <f aca="false">IF(A649="","",A649+7-WEEKDAY(A649,1)+1)</f>
        <v/>
      </c>
      <c r="C649" s="28"/>
      <c r="D649" s="29"/>
      <c r="E649" s="28"/>
      <c r="F649" s="28"/>
      <c r="G649" s="30"/>
      <c r="H649" s="31" t="str">
        <f aca="false">IF(E649="","",IFERROR(INDEX(Lists!$C$2:$C$86,MATCH(E649,Lists!$A$2:$A$86,0)),"?"))</f>
        <v/>
      </c>
      <c r="I649" s="32" t="str">
        <f aca="false">IF(OR(C649="",E649=""),"",IF(H649="Yes",IFERROR(INDEX(Employees!$E$4:$E$43,MATCH(C649,Employees!$B$4:$B$43,0)),0),0))</f>
        <v/>
      </c>
      <c r="J649" s="33" t="str">
        <f aca="false">IF(G649="","",IF(H649="Yes",G649*I649,0))</f>
        <v/>
      </c>
      <c r="K649" s="33" t="str">
        <f aca="false">IF(OR(C649="",G649=""),"",G649*IFERROR(INDEX(Employees!$F$4:$F$43,MATCH(C649,Employees!$B$4:$B$43,0)),0))</f>
        <v/>
      </c>
      <c r="L649" s="28"/>
    </row>
    <row r="650" customFormat="false" ht="15" hidden="false" customHeight="false" outlineLevel="0" collapsed="false">
      <c r="A650" s="26"/>
      <c r="B650" s="19" t="str">
        <f aca="false">IF(A650="","",A650+7-WEEKDAY(A650,1)+1)</f>
        <v/>
      </c>
      <c r="C650" s="28"/>
      <c r="D650" s="29"/>
      <c r="E650" s="28"/>
      <c r="F650" s="28"/>
      <c r="G650" s="30"/>
      <c r="H650" s="23" t="str">
        <f aca="false">IF(E650="","",IFERROR(INDEX(Lists!$C$2:$C$86,MATCH(E650,Lists!$A$2:$A$86,0)),"?"))</f>
        <v/>
      </c>
      <c r="I650" s="24" t="str">
        <f aca="false">IF(OR(C650="",E650=""),"",IF(H650="Yes",IFERROR(INDEX(Employees!$E$4:$E$43,MATCH(C650,Employees!$B$4:$B$43,0)),0),0))</f>
        <v/>
      </c>
      <c r="J650" s="25" t="str">
        <f aca="false">IF(G650="","",IF(H650="Yes",G650*I650,0))</f>
        <v/>
      </c>
      <c r="K650" s="25" t="str">
        <f aca="false">IF(OR(C650="",G650=""),"",G650*IFERROR(INDEX(Employees!$F$4:$F$43,MATCH(C650,Employees!$B$4:$B$43,0)),0))</f>
        <v/>
      </c>
      <c r="L650" s="28"/>
    </row>
    <row r="651" customFormat="false" ht="15" hidden="false" customHeight="false" outlineLevel="0" collapsed="false">
      <c r="A651" s="26"/>
      <c r="B651" s="27" t="str">
        <f aca="false">IF(A651="","",A651+7-WEEKDAY(A651,1)+1)</f>
        <v/>
      </c>
      <c r="C651" s="28"/>
      <c r="D651" s="29"/>
      <c r="E651" s="28"/>
      <c r="F651" s="28"/>
      <c r="G651" s="30"/>
      <c r="H651" s="31" t="str">
        <f aca="false">IF(E651="","",IFERROR(INDEX(Lists!$C$2:$C$86,MATCH(E651,Lists!$A$2:$A$86,0)),"?"))</f>
        <v/>
      </c>
      <c r="I651" s="32" t="str">
        <f aca="false">IF(OR(C651="",E651=""),"",IF(H651="Yes",IFERROR(INDEX(Employees!$E$4:$E$43,MATCH(C651,Employees!$B$4:$B$43,0)),0),0))</f>
        <v/>
      </c>
      <c r="J651" s="33" t="str">
        <f aca="false">IF(G651="","",IF(H651="Yes",G651*I651,0))</f>
        <v/>
      </c>
      <c r="K651" s="33" t="str">
        <f aca="false">IF(OR(C651="",G651=""),"",G651*IFERROR(INDEX(Employees!$F$4:$F$43,MATCH(C651,Employees!$B$4:$B$43,0)),0))</f>
        <v/>
      </c>
      <c r="L651" s="28"/>
    </row>
    <row r="652" customFormat="false" ht="15" hidden="false" customHeight="false" outlineLevel="0" collapsed="false">
      <c r="A652" s="26"/>
      <c r="B652" s="19" t="str">
        <f aca="false">IF(A652="","",A652+7-WEEKDAY(A652,1)+1)</f>
        <v/>
      </c>
      <c r="C652" s="28"/>
      <c r="D652" s="29"/>
      <c r="E652" s="28"/>
      <c r="F652" s="28"/>
      <c r="G652" s="30"/>
      <c r="H652" s="23" t="str">
        <f aca="false">IF(E652="","",IFERROR(INDEX(Lists!$C$2:$C$86,MATCH(E652,Lists!$A$2:$A$86,0)),"?"))</f>
        <v/>
      </c>
      <c r="I652" s="24" t="str">
        <f aca="false">IF(OR(C652="",E652=""),"",IF(H652="Yes",IFERROR(INDEX(Employees!$E$4:$E$43,MATCH(C652,Employees!$B$4:$B$43,0)),0),0))</f>
        <v/>
      </c>
      <c r="J652" s="25" t="str">
        <f aca="false">IF(G652="","",IF(H652="Yes",G652*I652,0))</f>
        <v/>
      </c>
      <c r="K652" s="25" t="str">
        <f aca="false">IF(OR(C652="",G652=""),"",G652*IFERROR(INDEX(Employees!$F$4:$F$43,MATCH(C652,Employees!$B$4:$B$43,0)),0))</f>
        <v/>
      </c>
      <c r="L652" s="28"/>
    </row>
    <row r="653" customFormat="false" ht="15" hidden="false" customHeight="false" outlineLevel="0" collapsed="false">
      <c r="A653" s="26"/>
      <c r="B653" s="27" t="str">
        <f aca="false">IF(A653="","",A653+7-WEEKDAY(A653,1)+1)</f>
        <v/>
      </c>
      <c r="C653" s="28"/>
      <c r="D653" s="29"/>
      <c r="E653" s="28"/>
      <c r="F653" s="28"/>
      <c r="G653" s="30"/>
      <c r="H653" s="31" t="str">
        <f aca="false">IF(E653="","",IFERROR(INDEX(Lists!$C$2:$C$86,MATCH(E653,Lists!$A$2:$A$86,0)),"?"))</f>
        <v/>
      </c>
      <c r="I653" s="32" t="str">
        <f aca="false">IF(OR(C653="",E653=""),"",IF(H653="Yes",IFERROR(INDEX(Employees!$E$4:$E$43,MATCH(C653,Employees!$B$4:$B$43,0)),0),0))</f>
        <v/>
      </c>
      <c r="J653" s="33" t="str">
        <f aca="false">IF(G653="","",IF(H653="Yes",G653*I653,0))</f>
        <v/>
      </c>
      <c r="K653" s="33" t="str">
        <f aca="false">IF(OR(C653="",G653=""),"",G653*IFERROR(INDEX(Employees!$F$4:$F$43,MATCH(C653,Employees!$B$4:$B$43,0)),0))</f>
        <v/>
      </c>
      <c r="L653" s="28"/>
    </row>
    <row r="654" customFormat="false" ht="15" hidden="false" customHeight="false" outlineLevel="0" collapsed="false">
      <c r="A654" s="26"/>
      <c r="B654" s="19" t="str">
        <f aca="false">IF(A654="","",A654+7-WEEKDAY(A654,1)+1)</f>
        <v/>
      </c>
      <c r="C654" s="28"/>
      <c r="D654" s="29"/>
      <c r="E654" s="28"/>
      <c r="F654" s="28"/>
      <c r="G654" s="30"/>
      <c r="H654" s="23" t="str">
        <f aca="false">IF(E654="","",IFERROR(INDEX(Lists!$C$2:$C$86,MATCH(E654,Lists!$A$2:$A$86,0)),"?"))</f>
        <v/>
      </c>
      <c r="I654" s="24" t="str">
        <f aca="false">IF(OR(C654="",E654=""),"",IF(H654="Yes",IFERROR(INDEX(Employees!$E$4:$E$43,MATCH(C654,Employees!$B$4:$B$43,0)),0),0))</f>
        <v/>
      </c>
      <c r="J654" s="25" t="str">
        <f aca="false">IF(G654="","",IF(H654="Yes",G654*I654,0))</f>
        <v/>
      </c>
      <c r="K654" s="25" t="str">
        <f aca="false">IF(OR(C654="",G654=""),"",G654*IFERROR(INDEX(Employees!$F$4:$F$43,MATCH(C654,Employees!$B$4:$B$43,0)),0))</f>
        <v/>
      </c>
      <c r="L654" s="28"/>
    </row>
    <row r="655" customFormat="false" ht="15" hidden="false" customHeight="false" outlineLevel="0" collapsed="false">
      <c r="A655" s="26"/>
      <c r="B655" s="27" t="str">
        <f aca="false">IF(A655="","",A655+7-WEEKDAY(A655,1)+1)</f>
        <v/>
      </c>
      <c r="C655" s="28"/>
      <c r="D655" s="29"/>
      <c r="E655" s="28"/>
      <c r="F655" s="28"/>
      <c r="G655" s="30"/>
      <c r="H655" s="31" t="str">
        <f aca="false">IF(E655="","",IFERROR(INDEX(Lists!$C$2:$C$86,MATCH(E655,Lists!$A$2:$A$86,0)),"?"))</f>
        <v/>
      </c>
      <c r="I655" s="32" t="str">
        <f aca="false">IF(OR(C655="",E655=""),"",IF(H655="Yes",IFERROR(INDEX(Employees!$E$4:$E$43,MATCH(C655,Employees!$B$4:$B$43,0)),0),0))</f>
        <v/>
      </c>
      <c r="J655" s="33" t="str">
        <f aca="false">IF(G655="","",IF(H655="Yes",G655*I655,0))</f>
        <v/>
      </c>
      <c r="K655" s="33" t="str">
        <f aca="false">IF(OR(C655="",G655=""),"",G655*IFERROR(INDEX(Employees!$F$4:$F$43,MATCH(C655,Employees!$B$4:$B$43,0)),0))</f>
        <v/>
      </c>
      <c r="L655" s="28"/>
    </row>
    <row r="656" customFormat="false" ht="15" hidden="false" customHeight="false" outlineLevel="0" collapsed="false">
      <c r="A656" s="26"/>
      <c r="B656" s="19" t="str">
        <f aca="false">IF(A656="","",A656+7-WEEKDAY(A656,1)+1)</f>
        <v/>
      </c>
      <c r="C656" s="28"/>
      <c r="D656" s="29"/>
      <c r="E656" s="28"/>
      <c r="F656" s="28"/>
      <c r="G656" s="30"/>
      <c r="H656" s="23" t="str">
        <f aca="false">IF(E656="","",IFERROR(INDEX(Lists!$C$2:$C$86,MATCH(E656,Lists!$A$2:$A$86,0)),"?"))</f>
        <v/>
      </c>
      <c r="I656" s="24" t="str">
        <f aca="false">IF(OR(C656="",E656=""),"",IF(H656="Yes",IFERROR(INDEX(Employees!$E$4:$E$43,MATCH(C656,Employees!$B$4:$B$43,0)),0),0))</f>
        <v/>
      </c>
      <c r="J656" s="25" t="str">
        <f aca="false">IF(G656="","",IF(H656="Yes",G656*I656,0))</f>
        <v/>
      </c>
      <c r="K656" s="25" t="str">
        <f aca="false">IF(OR(C656="",G656=""),"",G656*IFERROR(INDEX(Employees!$F$4:$F$43,MATCH(C656,Employees!$B$4:$B$43,0)),0))</f>
        <v/>
      </c>
      <c r="L656" s="28"/>
    </row>
    <row r="657" customFormat="false" ht="15" hidden="false" customHeight="false" outlineLevel="0" collapsed="false">
      <c r="A657" s="26"/>
      <c r="B657" s="27" t="str">
        <f aca="false">IF(A657="","",A657+7-WEEKDAY(A657,1)+1)</f>
        <v/>
      </c>
      <c r="C657" s="28"/>
      <c r="D657" s="29"/>
      <c r="E657" s="28"/>
      <c r="F657" s="28"/>
      <c r="G657" s="30"/>
      <c r="H657" s="31" t="str">
        <f aca="false">IF(E657="","",IFERROR(INDEX(Lists!$C$2:$C$86,MATCH(E657,Lists!$A$2:$A$86,0)),"?"))</f>
        <v/>
      </c>
      <c r="I657" s="32" t="str">
        <f aca="false">IF(OR(C657="",E657=""),"",IF(H657="Yes",IFERROR(INDEX(Employees!$E$4:$E$43,MATCH(C657,Employees!$B$4:$B$43,0)),0),0))</f>
        <v/>
      </c>
      <c r="J657" s="33" t="str">
        <f aca="false">IF(G657="","",IF(H657="Yes",G657*I657,0))</f>
        <v/>
      </c>
      <c r="K657" s="33" t="str">
        <f aca="false">IF(OR(C657="",G657=""),"",G657*IFERROR(INDEX(Employees!$F$4:$F$43,MATCH(C657,Employees!$B$4:$B$43,0)),0))</f>
        <v/>
      </c>
      <c r="L657" s="28"/>
    </row>
    <row r="658" customFormat="false" ht="15" hidden="false" customHeight="false" outlineLevel="0" collapsed="false">
      <c r="A658" s="26"/>
      <c r="B658" s="19" t="str">
        <f aca="false">IF(A658="","",A658+7-WEEKDAY(A658,1)+1)</f>
        <v/>
      </c>
      <c r="C658" s="28"/>
      <c r="D658" s="29"/>
      <c r="E658" s="28"/>
      <c r="F658" s="28"/>
      <c r="G658" s="30"/>
      <c r="H658" s="23" t="str">
        <f aca="false">IF(E658="","",IFERROR(INDEX(Lists!$C$2:$C$86,MATCH(E658,Lists!$A$2:$A$86,0)),"?"))</f>
        <v/>
      </c>
      <c r="I658" s="24" t="str">
        <f aca="false">IF(OR(C658="",E658=""),"",IF(H658="Yes",IFERROR(INDEX(Employees!$E$4:$E$43,MATCH(C658,Employees!$B$4:$B$43,0)),0),0))</f>
        <v/>
      </c>
      <c r="J658" s="25" t="str">
        <f aca="false">IF(G658="","",IF(H658="Yes",G658*I658,0))</f>
        <v/>
      </c>
      <c r="K658" s="25" t="str">
        <f aca="false">IF(OR(C658="",G658=""),"",G658*IFERROR(INDEX(Employees!$F$4:$F$43,MATCH(C658,Employees!$B$4:$B$43,0)),0))</f>
        <v/>
      </c>
      <c r="L658" s="28"/>
    </row>
    <row r="659" customFormat="false" ht="15" hidden="false" customHeight="false" outlineLevel="0" collapsed="false">
      <c r="A659" s="26"/>
      <c r="B659" s="27" t="str">
        <f aca="false">IF(A659="","",A659+7-WEEKDAY(A659,1)+1)</f>
        <v/>
      </c>
      <c r="C659" s="28"/>
      <c r="D659" s="29"/>
      <c r="E659" s="28"/>
      <c r="F659" s="28"/>
      <c r="G659" s="30"/>
      <c r="H659" s="31" t="str">
        <f aca="false">IF(E659="","",IFERROR(INDEX(Lists!$C$2:$C$86,MATCH(E659,Lists!$A$2:$A$86,0)),"?"))</f>
        <v/>
      </c>
      <c r="I659" s="32" t="str">
        <f aca="false">IF(OR(C659="",E659=""),"",IF(H659="Yes",IFERROR(INDEX(Employees!$E$4:$E$43,MATCH(C659,Employees!$B$4:$B$43,0)),0),0))</f>
        <v/>
      </c>
      <c r="J659" s="33" t="str">
        <f aca="false">IF(G659="","",IF(H659="Yes",G659*I659,0))</f>
        <v/>
      </c>
      <c r="K659" s="33" t="str">
        <f aca="false">IF(OR(C659="",G659=""),"",G659*IFERROR(INDEX(Employees!$F$4:$F$43,MATCH(C659,Employees!$B$4:$B$43,0)),0))</f>
        <v/>
      </c>
      <c r="L659" s="28"/>
    </row>
    <row r="660" customFormat="false" ht="15" hidden="false" customHeight="false" outlineLevel="0" collapsed="false">
      <c r="A660" s="26"/>
      <c r="B660" s="19" t="str">
        <f aca="false">IF(A660="","",A660+7-WEEKDAY(A660,1)+1)</f>
        <v/>
      </c>
      <c r="C660" s="28"/>
      <c r="D660" s="29"/>
      <c r="E660" s="28"/>
      <c r="F660" s="28"/>
      <c r="G660" s="30"/>
      <c r="H660" s="23" t="str">
        <f aca="false">IF(E660="","",IFERROR(INDEX(Lists!$C$2:$C$86,MATCH(E660,Lists!$A$2:$A$86,0)),"?"))</f>
        <v/>
      </c>
      <c r="I660" s="24" t="str">
        <f aca="false">IF(OR(C660="",E660=""),"",IF(H660="Yes",IFERROR(INDEX(Employees!$E$4:$E$43,MATCH(C660,Employees!$B$4:$B$43,0)),0),0))</f>
        <v/>
      </c>
      <c r="J660" s="25" t="str">
        <f aca="false">IF(G660="","",IF(H660="Yes",G660*I660,0))</f>
        <v/>
      </c>
      <c r="K660" s="25" t="str">
        <f aca="false">IF(OR(C660="",G660=""),"",G660*IFERROR(INDEX(Employees!$F$4:$F$43,MATCH(C660,Employees!$B$4:$B$43,0)),0))</f>
        <v/>
      </c>
      <c r="L660" s="28"/>
    </row>
    <row r="661" customFormat="false" ht="15" hidden="false" customHeight="false" outlineLevel="0" collapsed="false">
      <c r="A661" s="26"/>
      <c r="B661" s="27" t="str">
        <f aca="false">IF(A661="","",A661+7-WEEKDAY(A661,1)+1)</f>
        <v/>
      </c>
      <c r="C661" s="28"/>
      <c r="D661" s="29"/>
      <c r="E661" s="28"/>
      <c r="F661" s="28"/>
      <c r="G661" s="30"/>
      <c r="H661" s="31" t="str">
        <f aca="false">IF(E661="","",IFERROR(INDEX(Lists!$C$2:$C$86,MATCH(E661,Lists!$A$2:$A$86,0)),"?"))</f>
        <v/>
      </c>
      <c r="I661" s="32" t="str">
        <f aca="false">IF(OR(C661="",E661=""),"",IF(H661="Yes",IFERROR(INDEX(Employees!$E$4:$E$43,MATCH(C661,Employees!$B$4:$B$43,0)),0),0))</f>
        <v/>
      </c>
      <c r="J661" s="33" t="str">
        <f aca="false">IF(G661="","",IF(H661="Yes",G661*I661,0))</f>
        <v/>
      </c>
      <c r="K661" s="33" t="str">
        <f aca="false">IF(OR(C661="",G661=""),"",G661*IFERROR(INDEX(Employees!$F$4:$F$43,MATCH(C661,Employees!$B$4:$B$43,0)),0))</f>
        <v/>
      </c>
      <c r="L661" s="28"/>
    </row>
    <row r="662" customFormat="false" ht="15" hidden="false" customHeight="false" outlineLevel="0" collapsed="false">
      <c r="A662" s="26"/>
      <c r="B662" s="19" t="str">
        <f aca="false">IF(A662="","",A662+7-WEEKDAY(A662,1)+1)</f>
        <v/>
      </c>
      <c r="C662" s="28"/>
      <c r="D662" s="29"/>
      <c r="E662" s="28"/>
      <c r="F662" s="28"/>
      <c r="G662" s="30"/>
      <c r="H662" s="23" t="str">
        <f aca="false">IF(E662="","",IFERROR(INDEX(Lists!$C$2:$C$86,MATCH(E662,Lists!$A$2:$A$86,0)),"?"))</f>
        <v/>
      </c>
      <c r="I662" s="24" t="str">
        <f aca="false">IF(OR(C662="",E662=""),"",IF(H662="Yes",IFERROR(INDEX(Employees!$E$4:$E$43,MATCH(C662,Employees!$B$4:$B$43,0)),0),0))</f>
        <v/>
      </c>
      <c r="J662" s="25" t="str">
        <f aca="false">IF(G662="","",IF(H662="Yes",G662*I662,0))</f>
        <v/>
      </c>
      <c r="K662" s="25" t="str">
        <f aca="false">IF(OR(C662="",G662=""),"",G662*IFERROR(INDEX(Employees!$F$4:$F$43,MATCH(C662,Employees!$B$4:$B$43,0)),0))</f>
        <v/>
      </c>
      <c r="L662" s="28"/>
    </row>
    <row r="663" customFormat="false" ht="15" hidden="false" customHeight="false" outlineLevel="0" collapsed="false">
      <c r="A663" s="26"/>
      <c r="B663" s="27" t="str">
        <f aca="false">IF(A663="","",A663+7-WEEKDAY(A663,1)+1)</f>
        <v/>
      </c>
      <c r="C663" s="28"/>
      <c r="D663" s="29"/>
      <c r="E663" s="28"/>
      <c r="F663" s="28"/>
      <c r="G663" s="30"/>
      <c r="H663" s="31" t="str">
        <f aca="false">IF(E663="","",IFERROR(INDEX(Lists!$C$2:$C$86,MATCH(E663,Lists!$A$2:$A$86,0)),"?"))</f>
        <v/>
      </c>
      <c r="I663" s="32" t="str">
        <f aca="false">IF(OR(C663="",E663=""),"",IF(H663="Yes",IFERROR(INDEX(Employees!$E$4:$E$43,MATCH(C663,Employees!$B$4:$B$43,0)),0),0))</f>
        <v/>
      </c>
      <c r="J663" s="33" t="str">
        <f aca="false">IF(G663="","",IF(H663="Yes",G663*I663,0))</f>
        <v/>
      </c>
      <c r="K663" s="33" t="str">
        <f aca="false">IF(OR(C663="",G663=""),"",G663*IFERROR(INDEX(Employees!$F$4:$F$43,MATCH(C663,Employees!$B$4:$B$43,0)),0))</f>
        <v/>
      </c>
      <c r="L663" s="28"/>
    </row>
    <row r="664" customFormat="false" ht="15" hidden="false" customHeight="false" outlineLevel="0" collapsed="false">
      <c r="A664" s="26"/>
      <c r="B664" s="19" t="str">
        <f aca="false">IF(A664="","",A664+7-WEEKDAY(A664,1)+1)</f>
        <v/>
      </c>
      <c r="C664" s="28"/>
      <c r="D664" s="29"/>
      <c r="E664" s="28"/>
      <c r="F664" s="28"/>
      <c r="G664" s="30"/>
      <c r="H664" s="23" t="str">
        <f aca="false">IF(E664="","",IFERROR(INDEX(Lists!$C$2:$C$86,MATCH(E664,Lists!$A$2:$A$86,0)),"?"))</f>
        <v/>
      </c>
      <c r="I664" s="24" t="str">
        <f aca="false">IF(OR(C664="",E664=""),"",IF(H664="Yes",IFERROR(INDEX(Employees!$E$4:$E$43,MATCH(C664,Employees!$B$4:$B$43,0)),0),0))</f>
        <v/>
      </c>
      <c r="J664" s="25" t="str">
        <f aca="false">IF(G664="","",IF(H664="Yes",G664*I664,0))</f>
        <v/>
      </c>
      <c r="K664" s="25" t="str">
        <f aca="false">IF(OR(C664="",G664=""),"",G664*IFERROR(INDEX(Employees!$F$4:$F$43,MATCH(C664,Employees!$B$4:$B$43,0)),0))</f>
        <v/>
      </c>
      <c r="L664" s="28"/>
    </row>
    <row r="665" customFormat="false" ht="15" hidden="false" customHeight="false" outlineLevel="0" collapsed="false">
      <c r="A665" s="26"/>
      <c r="B665" s="27" t="str">
        <f aca="false">IF(A665="","",A665+7-WEEKDAY(A665,1)+1)</f>
        <v/>
      </c>
      <c r="C665" s="28"/>
      <c r="D665" s="29"/>
      <c r="E665" s="28"/>
      <c r="F665" s="28"/>
      <c r="G665" s="30"/>
      <c r="H665" s="31" t="str">
        <f aca="false">IF(E665="","",IFERROR(INDEX(Lists!$C$2:$C$86,MATCH(E665,Lists!$A$2:$A$86,0)),"?"))</f>
        <v/>
      </c>
      <c r="I665" s="32" t="str">
        <f aca="false">IF(OR(C665="",E665=""),"",IF(H665="Yes",IFERROR(INDEX(Employees!$E$4:$E$43,MATCH(C665,Employees!$B$4:$B$43,0)),0),0))</f>
        <v/>
      </c>
      <c r="J665" s="33" t="str">
        <f aca="false">IF(G665="","",IF(H665="Yes",G665*I665,0))</f>
        <v/>
      </c>
      <c r="K665" s="33" t="str">
        <f aca="false">IF(OR(C665="",G665=""),"",G665*IFERROR(INDEX(Employees!$F$4:$F$43,MATCH(C665,Employees!$B$4:$B$43,0)),0))</f>
        <v/>
      </c>
      <c r="L665" s="28"/>
    </row>
    <row r="666" customFormat="false" ht="15" hidden="false" customHeight="false" outlineLevel="0" collapsed="false">
      <c r="A666" s="26"/>
      <c r="B666" s="19" t="str">
        <f aca="false">IF(A666="","",A666+7-WEEKDAY(A666,1)+1)</f>
        <v/>
      </c>
      <c r="C666" s="28"/>
      <c r="D666" s="29"/>
      <c r="E666" s="28"/>
      <c r="F666" s="28"/>
      <c r="G666" s="30"/>
      <c r="H666" s="23" t="str">
        <f aca="false">IF(E666="","",IFERROR(INDEX(Lists!$C$2:$C$86,MATCH(E666,Lists!$A$2:$A$86,0)),"?"))</f>
        <v/>
      </c>
      <c r="I666" s="24" t="str">
        <f aca="false">IF(OR(C666="",E666=""),"",IF(H666="Yes",IFERROR(INDEX(Employees!$E$4:$E$43,MATCH(C666,Employees!$B$4:$B$43,0)),0),0))</f>
        <v/>
      </c>
      <c r="J666" s="25" t="str">
        <f aca="false">IF(G666="","",IF(H666="Yes",G666*I666,0))</f>
        <v/>
      </c>
      <c r="K666" s="25" t="str">
        <f aca="false">IF(OR(C666="",G666=""),"",G666*IFERROR(INDEX(Employees!$F$4:$F$43,MATCH(C666,Employees!$B$4:$B$43,0)),0))</f>
        <v/>
      </c>
      <c r="L666" s="28"/>
    </row>
    <row r="667" customFormat="false" ht="15" hidden="false" customHeight="false" outlineLevel="0" collapsed="false">
      <c r="A667" s="26"/>
      <c r="B667" s="27" t="str">
        <f aca="false">IF(A667="","",A667+7-WEEKDAY(A667,1)+1)</f>
        <v/>
      </c>
      <c r="C667" s="28"/>
      <c r="D667" s="29"/>
      <c r="E667" s="28"/>
      <c r="F667" s="28"/>
      <c r="G667" s="30"/>
      <c r="H667" s="31" t="str">
        <f aca="false">IF(E667="","",IFERROR(INDEX(Lists!$C$2:$C$86,MATCH(E667,Lists!$A$2:$A$86,0)),"?"))</f>
        <v/>
      </c>
      <c r="I667" s="32" t="str">
        <f aca="false">IF(OR(C667="",E667=""),"",IF(H667="Yes",IFERROR(INDEX(Employees!$E$4:$E$43,MATCH(C667,Employees!$B$4:$B$43,0)),0),0))</f>
        <v/>
      </c>
      <c r="J667" s="33" t="str">
        <f aca="false">IF(G667="","",IF(H667="Yes",G667*I667,0))</f>
        <v/>
      </c>
      <c r="K667" s="33" t="str">
        <f aca="false">IF(OR(C667="",G667=""),"",G667*IFERROR(INDEX(Employees!$F$4:$F$43,MATCH(C667,Employees!$B$4:$B$43,0)),0))</f>
        <v/>
      </c>
      <c r="L667" s="28"/>
    </row>
    <row r="668" customFormat="false" ht="15" hidden="false" customHeight="false" outlineLevel="0" collapsed="false">
      <c r="A668" s="26"/>
      <c r="B668" s="19" t="str">
        <f aca="false">IF(A668="","",A668+7-WEEKDAY(A668,1)+1)</f>
        <v/>
      </c>
      <c r="C668" s="28"/>
      <c r="D668" s="29"/>
      <c r="E668" s="28"/>
      <c r="F668" s="28"/>
      <c r="G668" s="30"/>
      <c r="H668" s="23" t="str">
        <f aca="false">IF(E668="","",IFERROR(INDEX(Lists!$C$2:$C$86,MATCH(E668,Lists!$A$2:$A$86,0)),"?"))</f>
        <v/>
      </c>
      <c r="I668" s="24" t="str">
        <f aca="false">IF(OR(C668="",E668=""),"",IF(H668="Yes",IFERROR(INDEX(Employees!$E$4:$E$43,MATCH(C668,Employees!$B$4:$B$43,0)),0),0))</f>
        <v/>
      </c>
      <c r="J668" s="25" t="str">
        <f aca="false">IF(G668="","",IF(H668="Yes",G668*I668,0))</f>
        <v/>
      </c>
      <c r="K668" s="25" t="str">
        <f aca="false">IF(OR(C668="",G668=""),"",G668*IFERROR(INDEX(Employees!$F$4:$F$43,MATCH(C668,Employees!$B$4:$B$43,0)),0))</f>
        <v/>
      </c>
      <c r="L668" s="28"/>
    </row>
    <row r="669" customFormat="false" ht="15" hidden="false" customHeight="false" outlineLevel="0" collapsed="false">
      <c r="A669" s="26"/>
      <c r="B669" s="27" t="str">
        <f aca="false">IF(A669="","",A669+7-WEEKDAY(A669,1)+1)</f>
        <v/>
      </c>
      <c r="C669" s="28"/>
      <c r="D669" s="29"/>
      <c r="E669" s="28"/>
      <c r="F669" s="28"/>
      <c r="G669" s="30"/>
      <c r="H669" s="31" t="str">
        <f aca="false">IF(E669="","",IFERROR(INDEX(Lists!$C$2:$C$86,MATCH(E669,Lists!$A$2:$A$86,0)),"?"))</f>
        <v/>
      </c>
      <c r="I669" s="32" t="str">
        <f aca="false">IF(OR(C669="",E669=""),"",IF(H669="Yes",IFERROR(INDEX(Employees!$E$4:$E$43,MATCH(C669,Employees!$B$4:$B$43,0)),0),0))</f>
        <v/>
      </c>
      <c r="J669" s="33" t="str">
        <f aca="false">IF(G669="","",IF(H669="Yes",G669*I669,0))</f>
        <v/>
      </c>
      <c r="K669" s="33" t="str">
        <f aca="false">IF(OR(C669="",G669=""),"",G669*IFERROR(INDEX(Employees!$F$4:$F$43,MATCH(C669,Employees!$B$4:$B$43,0)),0))</f>
        <v/>
      </c>
      <c r="L669" s="28"/>
    </row>
    <row r="670" customFormat="false" ht="15" hidden="false" customHeight="false" outlineLevel="0" collapsed="false">
      <c r="A670" s="26"/>
      <c r="B670" s="19" t="str">
        <f aca="false">IF(A670="","",A670+7-WEEKDAY(A670,1)+1)</f>
        <v/>
      </c>
      <c r="C670" s="28"/>
      <c r="D670" s="29"/>
      <c r="E670" s="28"/>
      <c r="F670" s="28"/>
      <c r="G670" s="30"/>
      <c r="H670" s="23" t="str">
        <f aca="false">IF(E670="","",IFERROR(INDEX(Lists!$C$2:$C$86,MATCH(E670,Lists!$A$2:$A$86,0)),"?"))</f>
        <v/>
      </c>
      <c r="I670" s="24" t="str">
        <f aca="false">IF(OR(C670="",E670=""),"",IF(H670="Yes",IFERROR(INDEX(Employees!$E$4:$E$43,MATCH(C670,Employees!$B$4:$B$43,0)),0),0))</f>
        <v/>
      </c>
      <c r="J670" s="25" t="str">
        <f aca="false">IF(G670="","",IF(H670="Yes",G670*I670,0))</f>
        <v/>
      </c>
      <c r="K670" s="25" t="str">
        <f aca="false">IF(OR(C670="",G670=""),"",G670*IFERROR(INDEX(Employees!$F$4:$F$43,MATCH(C670,Employees!$B$4:$B$43,0)),0))</f>
        <v/>
      </c>
      <c r="L670" s="28"/>
    </row>
    <row r="671" customFormat="false" ht="15" hidden="false" customHeight="false" outlineLevel="0" collapsed="false">
      <c r="A671" s="26"/>
      <c r="B671" s="27" t="str">
        <f aca="false">IF(A671="","",A671+7-WEEKDAY(A671,1)+1)</f>
        <v/>
      </c>
      <c r="C671" s="28"/>
      <c r="D671" s="29"/>
      <c r="E671" s="28"/>
      <c r="F671" s="28"/>
      <c r="G671" s="30"/>
      <c r="H671" s="31" t="str">
        <f aca="false">IF(E671="","",IFERROR(INDEX(Lists!$C$2:$C$86,MATCH(E671,Lists!$A$2:$A$86,0)),"?"))</f>
        <v/>
      </c>
      <c r="I671" s="32" t="str">
        <f aca="false">IF(OR(C671="",E671=""),"",IF(H671="Yes",IFERROR(INDEX(Employees!$E$4:$E$43,MATCH(C671,Employees!$B$4:$B$43,0)),0),0))</f>
        <v/>
      </c>
      <c r="J671" s="33" t="str">
        <f aca="false">IF(G671="","",IF(H671="Yes",G671*I671,0))</f>
        <v/>
      </c>
      <c r="K671" s="33" t="str">
        <f aca="false">IF(OR(C671="",G671=""),"",G671*IFERROR(INDEX(Employees!$F$4:$F$43,MATCH(C671,Employees!$B$4:$B$43,0)),0))</f>
        <v/>
      </c>
      <c r="L671" s="28"/>
    </row>
    <row r="672" customFormat="false" ht="15" hidden="false" customHeight="false" outlineLevel="0" collapsed="false">
      <c r="A672" s="26"/>
      <c r="B672" s="19" t="str">
        <f aca="false">IF(A672="","",A672+7-WEEKDAY(A672,1)+1)</f>
        <v/>
      </c>
      <c r="C672" s="28"/>
      <c r="D672" s="29"/>
      <c r="E672" s="28"/>
      <c r="F672" s="28"/>
      <c r="G672" s="30"/>
      <c r="H672" s="23" t="str">
        <f aca="false">IF(E672="","",IFERROR(INDEX(Lists!$C$2:$C$86,MATCH(E672,Lists!$A$2:$A$86,0)),"?"))</f>
        <v/>
      </c>
      <c r="I672" s="24" t="str">
        <f aca="false">IF(OR(C672="",E672=""),"",IF(H672="Yes",IFERROR(INDEX(Employees!$E$4:$E$43,MATCH(C672,Employees!$B$4:$B$43,0)),0),0))</f>
        <v/>
      </c>
      <c r="J672" s="25" t="str">
        <f aca="false">IF(G672="","",IF(H672="Yes",G672*I672,0))</f>
        <v/>
      </c>
      <c r="K672" s="25" t="str">
        <f aca="false">IF(OR(C672="",G672=""),"",G672*IFERROR(INDEX(Employees!$F$4:$F$43,MATCH(C672,Employees!$B$4:$B$43,0)),0))</f>
        <v/>
      </c>
      <c r="L672" s="28"/>
    </row>
    <row r="673" customFormat="false" ht="15" hidden="false" customHeight="false" outlineLevel="0" collapsed="false">
      <c r="A673" s="26"/>
      <c r="B673" s="27" t="str">
        <f aca="false">IF(A673="","",A673+7-WEEKDAY(A673,1)+1)</f>
        <v/>
      </c>
      <c r="C673" s="28"/>
      <c r="D673" s="29"/>
      <c r="E673" s="28"/>
      <c r="F673" s="28"/>
      <c r="G673" s="30"/>
      <c r="H673" s="31" t="str">
        <f aca="false">IF(E673="","",IFERROR(INDEX(Lists!$C$2:$C$86,MATCH(E673,Lists!$A$2:$A$86,0)),"?"))</f>
        <v/>
      </c>
      <c r="I673" s="32" t="str">
        <f aca="false">IF(OR(C673="",E673=""),"",IF(H673="Yes",IFERROR(INDEX(Employees!$E$4:$E$43,MATCH(C673,Employees!$B$4:$B$43,0)),0),0))</f>
        <v/>
      </c>
      <c r="J673" s="33" t="str">
        <f aca="false">IF(G673="","",IF(H673="Yes",G673*I673,0))</f>
        <v/>
      </c>
      <c r="K673" s="33" t="str">
        <f aca="false">IF(OR(C673="",G673=""),"",G673*IFERROR(INDEX(Employees!$F$4:$F$43,MATCH(C673,Employees!$B$4:$B$43,0)),0))</f>
        <v/>
      </c>
      <c r="L673" s="28"/>
    </row>
    <row r="674" customFormat="false" ht="15" hidden="false" customHeight="false" outlineLevel="0" collapsed="false">
      <c r="A674" s="26"/>
      <c r="B674" s="19" t="str">
        <f aca="false">IF(A674="","",A674+7-WEEKDAY(A674,1)+1)</f>
        <v/>
      </c>
      <c r="C674" s="28"/>
      <c r="D674" s="29"/>
      <c r="E674" s="28"/>
      <c r="F674" s="28"/>
      <c r="G674" s="30"/>
      <c r="H674" s="23" t="str">
        <f aca="false">IF(E674="","",IFERROR(INDEX(Lists!$C$2:$C$86,MATCH(E674,Lists!$A$2:$A$86,0)),"?"))</f>
        <v/>
      </c>
      <c r="I674" s="24" t="str">
        <f aca="false">IF(OR(C674="",E674=""),"",IF(H674="Yes",IFERROR(INDEX(Employees!$E$4:$E$43,MATCH(C674,Employees!$B$4:$B$43,0)),0),0))</f>
        <v/>
      </c>
      <c r="J674" s="25" t="str">
        <f aca="false">IF(G674="","",IF(H674="Yes",G674*I674,0))</f>
        <v/>
      </c>
      <c r="K674" s="25" t="str">
        <f aca="false">IF(OR(C674="",G674=""),"",G674*IFERROR(INDEX(Employees!$F$4:$F$43,MATCH(C674,Employees!$B$4:$B$43,0)),0))</f>
        <v/>
      </c>
      <c r="L674" s="28"/>
    </row>
    <row r="675" customFormat="false" ht="15" hidden="false" customHeight="false" outlineLevel="0" collapsed="false">
      <c r="A675" s="26"/>
      <c r="B675" s="27" t="str">
        <f aca="false">IF(A675="","",A675+7-WEEKDAY(A675,1)+1)</f>
        <v/>
      </c>
      <c r="C675" s="28"/>
      <c r="D675" s="29"/>
      <c r="E675" s="28"/>
      <c r="F675" s="28"/>
      <c r="G675" s="30"/>
      <c r="H675" s="31" t="str">
        <f aca="false">IF(E675="","",IFERROR(INDEX(Lists!$C$2:$C$86,MATCH(E675,Lists!$A$2:$A$86,0)),"?"))</f>
        <v/>
      </c>
      <c r="I675" s="32" t="str">
        <f aca="false">IF(OR(C675="",E675=""),"",IF(H675="Yes",IFERROR(INDEX(Employees!$E$4:$E$43,MATCH(C675,Employees!$B$4:$B$43,0)),0),0))</f>
        <v/>
      </c>
      <c r="J675" s="33" t="str">
        <f aca="false">IF(G675="","",IF(H675="Yes",G675*I675,0))</f>
        <v/>
      </c>
      <c r="K675" s="33" t="str">
        <f aca="false">IF(OR(C675="",G675=""),"",G675*IFERROR(INDEX(Employees!$F$4:$F$43,MATCH(C675,Employees!$B$4:$B$43,0)),0))</f>
        <v/>
      </c>
      <c r="L675" s="28"/>
    </row>
    <row r="676" customFormat="false" ht="15" hidden="false" customHeight="false" outlineLevel="0" collapsed="false">
      <c r="A676" s="26"/>
      <c r="B676" s="19" t="str">
        <f aca="false">IF(A676="","",A676+7-WEEKDAY(A676,1)+1)</f>
        <v/>
      </c>
      <c r="C676" s="28"/>
      <c r="D676" s="29"/>
      <c r="E676" s="28"/>
      <c r="F676" s="28"/>
      <c r="G676" s="30"/>
      <c r="H676" s="23" t="str">
        <f aca="false">IF(E676="","",IFERROR(INDEX(Lists!$C$2:$C$86,MATCH(E676,Lists!$A$2:$A$86,0)),"?"))</f>
        <v/>
      </c>
      <c r="I676" s="24" t="str">
        <f aca="false">IF(OR(C676="",E676=""),"",IF(H676="Yes",IFERROR(INDEX(Employees!$E$4:$E$43,MATCH(C676,Employees!$B$4:$B$43,0)),0),0))</f>
        <v/>
      </c>
      <c r="J676" s="25" t="str">
        <f aca="false">IF(G676="","",IF(H676="Yes",G676*I676,0))</f>
        <v/>
      </c>
      <c r="K676" s="25" t="str">
        <f aca="false">IF(OR(C676="",G676=""),"",G676*IFERROR(INDEX(Employees!$F$4:$F$43,MATCH(C676,Employees!$B$4:$B$43,0)),0))</f>
        <v/>
      </c>
      <c r="L676" s="28"/>
    </row>
    <row r="677" customFormat="false" ht="15" hidden="false" customHeight="false" outlineLevel="0" collapsed="false">
      <c r="A677" s="26"/>
      <c r="B677" s="27" t="str">
        <f aca="false">IF(A677="","",A677+7-WEEKDAY(A677,1)+1)</f>
        <v/>
      </c>
      <c r="C677" s="28"/>
      <c r="D677" s="29"/>
      <c r="E677" s="28"/>
      <c r="F677" s="28"/>
      <c r="G677" s="30"/>
      <c r="H677" s="31" t="str">
        <f aca="false">IF(E677="","",IFERROR(INDEX(Lists!$C$2:$C$86,MATCH(E677,Lists!$A$2:$A$86,0)),"?"))</f>
        <v/>
      </c>
      <c r="I677" s="32" t="str">
        <f aca="false">IF(OR(C677="",E677=""),"",IF(H677="Yes",IFERROR(INDEX(Employees!$E$4:$E$43,MATCH(C677,Employees!$B$4:$B$43,0)),0),0))</f>
        <v/>
      </c>
      <c r="J677" s="33" t="str">
        <f aca="false">IF(G677="","",IF(H677="Yes",G677*I677,0))</f>
        <v/>
      </c>
      <c r="K677" s="33" t="str">
        <f aca="false">IF(OR(C677="",G677=""),"",G677*IFERROR(INDEX(Employees!$F$4:$F$43,MATCH(C677,Employees!$B$4:$B$43,0)),0))</f>
        <v/>
      </c>
      <c r="L677" s="28"/>
    </row>
    <row r="678" customFormat="false" ht="15" hidden="false" customHeight="false" outlineLevel="0" collapsed="false">
      <c r="A678" s="26"/>
      <c r="B678" s="19" t="str">
        <f aca="false">IF(A678="","",A678+7-WEEKDAY(A678,1)+1)</f>
        <v/>
      </c>
      <c r="C678" s="28"/>
      <c r="D678" s="29"/>
      <c r="E678" s="28"/>
      <c r="F678" s="28"/>
      <c r="G678" s="30"/>
      <c r="H678" s="23" t="str">
        <f aca="false">IF(E678="","",IFERROR(INDEX(Lists!$C$2:$C$86,MATCH(E678,Lists!$A$2:$A$86,0)),"?"))</f>
        <v/>
      </c>
      <c r="I678" s="24" t="str">
        <f aca="false">IF(OR(C678="",E678=""),"",IF(H678="Yes",IFERROR(INDEX(Employees!$E$4:$E$43,MATCH(C678,Employees!$B$4:$B$43,0)),0),0))</f>
        <v/>
      </c>
      <c r="J678" s="25" t="str">
        <f aca="false">IF(G678="","",IF(H678="Yes",G678*I678,0))</f>
        <v/>
      </c>
      <c r="K678" s="25" t="str">
        <f aca="false">IF(OR(C678="",G678=""),"",G678*IFERROR(INDEX(Employees!$F$4:$F$43,MATCH(C678,Employees!$B$4:$B$43,0)),0))</f>
        <v/>
      </c>
      <c r="L678" s="28"/>
    </row>
    <row r="679" customFormat="false" ht="15" hidden="false" customHeight="false" outlineLevel="0" collapsed="false">
      <c r="A679" s="26"/>
      <c r="B679" s="27" t="str">
        <f aca="false">IF(A679="","",A679+7-WEEKDAY(A679,1)+1)</f>
        <v/>
      </c>
      <c r="C679" s="28"/>
      <c r="D679" s="29"/>
      <c r="E679" s="28"/>
      <c r="F679" s="28"/>
      <c r="G679" s="30"/>
      <c r="H679" s="31" t="str">
        <f aca="false">IF(E679="","",IFERROR(INDEX(Lists!$C$2:$C$86,MATCH(E679,Lists!$A$2:$A$86,0)),"?"))</f>
        <v/>
      </c>
      <c r="I679" s="32" t="str">
        <f aca="false">IF(OR(C679="",E679=""),"",IF(H679="Yes",IFERROR(INDEX(Employees!$E$4:$E$43,MATCH(C679,Employees!$B$4:$B$43,0)),0),0))</f>
        <v/>
      </c>
      <c r="J679" s="33" t="str">
        <f aca="false">IF(G679="","",IF(H679="Yes",G679*I679,0))</f>
        <v/>
      </c>
      <c r="K679" s="33" t="str">
        <f aca="false">IF(OR(C679="",G679=""),"",G679*IFERROR(INDEX(Employees!$F$4:$F$43,MATCH(C679,Employees!$B$4:$B$43,0)),0))</f>
        <v/>
      </c>
      <c r="L679" s="28"/>
    </row>
    <row r="680" customFormat="false" ht="15" hidden="false" customHeight="false" outlineLevel="0" collapsed="false">
      <c r="A680" s="26"/>
      <c r="B680" s="19" t="str">
        <f aca="false">IF(A680="","",A680+7-WEEKDAY(A680,1)+1)</f>
        <v/>
      </c>
      <c r="C680" s="28"/>
      <c r="D680" s="29"/>
      <c r="E680" s="28"/>
      <c r="F680" s="28"/>
      <c r="G680" s="30"/>
      <c r="H680" s="23" t="str">
        <f aca="false">IF(E680="","",IFERROR(INDEX(Lists!$C$2:$C$86,MATCH(E680,Lists!$A$2:$A$86,0)),"?"))</f>
        <v/>
      </c>
      <c r="I680" s="24" t="str">
        <f aca="false">IF(OR(C680="",E680=""),"",IF(H680="Yes",IFERROR(INDEX(Employees!$E$4:$E$43,MATCH(C680,Employees!$B$4:$B$43,0)),0),0))</f>
        <v/>
      </c>
      <c r="J680" s="25" t="str">
        <f aca="false">IF(G680="","",IF(H680="Yes",G680*I680,0))</f>
        <v/>
      </c>
      <c r="K680" s="25" t="str">
        <f aca="false">IF(OR(C680="",G680=""),"",G680*IFERROR(INDEX(Employees!$F$4:$F$43,MATCH(C680,Employees!$B$4:$B$43,0)),0))</f>
        <v/>
      </c>
      <c r="L680" s="28"/>
    </row>
    <row r="681" customFormat="false" ht="15" hidden="false" customHeight="false" outlineLevel="0" collapsed="false">
      <c r="A681" s="26"/>
      <c r="B681" s="27" t="str">
        <f aca="false">IF(A681="","",A681+7-WEEKDAY(A681,1)+1)</f>
        <v/>
      </c>
      <c r="C681" s="28"/>
      <c r="D681" s="29"/>
      <c r="E681" s="28"/>
      <c r="F681" s="28"/>
      <c r="G681" s="30"/>
      <c r="H681" s="31" t="str">
        <f aca="false">IF(E681="","",IFERROR(INDEX(Lists!$C$2:$C$86,MATCH(E681,Lists!$A$2:$A$86,0)),"?"))</f>
        <v/>
      </c>
      <c r="I681" s="32" t="str">
        <f aca="false">IF(OR(C681="",E681=""),"",IF(H681="Yes",IFERROR(INDEX(Employees!$E$4:$E$43,MATCH(C681,Employees!$B$4:$B$43,0)),0),0))</f>
        <v/>
      </c>
      <c r="J681" s="33" t="str">
        <f aca="false">IF(G681="","",IF(H681="Yes",G681*I681,0))</f>
        <v/>
      </c>
      <c r="K681" s="33" t="str">
        <f aca="false">IF(OR(C681="",G681=""),"",G681*IFERROR(INDEX(Employees!$F$4:$F$43,MATCH(C681,Employees!$B$4:$B$43,0)),0))</f>
        <v/>
      </c>
      <c r="L681" s="28"/>
    </row>
    <row r="682" customFormat="false" ht="15" hidden="false" customHeight="false" outlineLevel="0" collapsed="false">
      <c r="A682" s="26"/>
      <c r="B682" s="19" t="str">
        <f aca="false">IF(A682="","",A682+7-WEEKDAY(A682,1)+1)</f>
        <v/>
      </c>
      <c r="C682" s="28"/>
      <c r="D682" s="29"/>
      <c r="E682" s="28"/>
      <c r="F682" s="28"/>
      <c r="G682" s="30"/>
      <c r="H682" s="23" t="str">
        <f aca="false">IF(E682="","",IFERROR(INDEX(Lists!$C$2:$C$86,MATCH(E682,Lists!$A$2:$A$86,0)),"?"))</f>
        <v/>
      </c>
      <c r="I682" s="24" t="str">
        <f aca="false">IF(OR(C682="",E682=""),"",IF(H682="Yes",IFERROR(INDEX(Employees!$E$4:$E$43,MATCH(C682,Employees!$B$4:$B$43,0)),0),0))</f>
        <v/>
      </c>
      <c r="J682" s="25" t="str">
        <f aca="false">IF(G682="","",IF(H682="Yes",G682*I682,0))</f>
        <v/>
      </c>
      <c r="K682" s="25" t="str">
        <f aca="false">IF(OR(C682="",G682=""),"",G682*IFERROR(INDEX(Employees!$F$4:$F$43,MATCH(C682,Employees!$B$4:$B$43,0)),0))</f>
        <v/>
      </c>
      <c r="L682" s="28"/>
    </row>
    <row r="683" customFormat="false" ht="15" hidden="false" customHeight="false" outlineLevel="0" collapsed="false">
      <c r="A683" s="26"/>
      <c r="B683" s="27" t="str">
        <f aca="false">IF(A683="","",A683+7-WEEKDAY(A683,1)+1)</f>
        <v/>
      </c>
      <c r="C683" s="28"/>
      <c r="D683" s="29"/>
      <c r="E683" s="28"/>
      <c r="F683" s="28"/>
      <c r="G683" s="30"/>
      <c r="H683" s="31" t="str">
        <f aca="false">IF(E683="","",IFERROR(INDEX(Lists!$C$2:$C$86,MATCH(E683,Lists!$A$2:$A$86,0)),"?"))</f>
        <v/>
      </c>
      <c r="I683" s="32" t="str">
        <f aca="false">IF(OR(C683="",E683=""),"",IF(H683="Yes",IFERROR(INDEX(Employees!$E$4:$E$43,MATCH(C683,Employees!$B$4:$B$43,0)),0),0))</f>
        <v/>
      </c>
      <c r="J683" s="33" t="str">
        <f aca="false">IF(G683="","",IF(H683="Yes",G683*I683,0))</f>
        <v/>
      </c>
      <c r="K683" s="33" t="str">
        <f aca="false">IF(OR(C683="",G683=""),"",G683*IFERROR(INDEX(Employees!$F$4:$F$43,MATCH(C683,Employees!$B$4:$B$43,0)),0))</f>
        <v/>
      </c>
      <c r="L683" s="28"/>
    </row>
    <row r="684" customFormat="false" ht="15" hidden="false" customHeight="false" outlineLevel="0" collapsed="false">
      <c r="A684" s="26"/>
      <c r="B684" s="19" t="str">
        <f aca="false">IF(A684="","",A684+7-WEEKDAY(A684,1)+1)</f>
        <v/>
      </c>
      <c r="C684" s="28"/>
      <c r="D684" s="29"/>
      <c r="E684" s="28"/>
      <c r="F684" s="28"/>
      <c r="G684" s="30"/>
      <c r="H684" s="23" t="str">
        <f aca="false">IF(E684="","",IFERROR(INDEX(Lists!$C$2:$C$86,MATCH(E684,Lists!$A$2:$A$86,0)),"?"))</f>
        <v/>
      </c>
      <c r="I684" s="24" t="str">
        <f aca="false">IF(OR(C684="",E684=""),"",IF(H684="Yes",IFERROR(INDEX(Employees!$E$4:$E$43,MATCH(C684,Employees!$B$4:$B$43,0)),0),0))</f>
        <v/>
      </c>
      <c r="J684" s="25" t="str">
        <f aca="false">IF(G684="","",IF(H684="Yes",G684*I684,0))</f>
        <v/>
      </c>
      <c r="K684" s="25" t="str">
        <f aca="false">IF(OR(C684="",G684=""),"",G684*IFERROR(INDEX(Employees!$F$4:$F$43,MATCH(C684,Employees!$B$4:$B$43,0)),0))</f>
        <v/>
      </c>
      <c r="L684" s="28"/>
    </row>
    <row r="685" customFormat="false" ht="15" hidden="false" customHeight="false" outlineLevel="0" collapsed="false">
      <c r="A685" s="26"/>
      <c r="B685" s="27" t="str">
        <f aca="false">IF(A685="","",A685+7-WEEKDAY(A685,1)+1)</f>
        <v/>
      </c>
      <c r="C685" s="28"/>
      <c r="D685" s="29"/>
      <c r="E685" s="28"/>
      <c r="F685" s="28"/>
      <c r="G685" s="30"/>
      <c r="H685" s="31" t="str">
        <f aca="false">IF(E685="","",IFERROR(INDEX(Lists!$C$2:$C$86,MATCH(E685,Lists!$A$2:$A$86,0)),"?"))</f>
        <v/>
      </c>
      <c r="I685" s="32" t="str">
        <f aca="false">IF(OR(C685="",E685=""),"",IF(H685="Yes",IFERROR(INDEX(Employees!$E$4:$E$43,MATCH(C685,Employees!$B$4:$B$43,0)),0),0))</f>
        <v/>
      </c>
      <c r="J685" s="33" t="str">
        <f aca="false">IF(G685="","",IF(H685="Yes",G685*I685,0))</f>
        <v/>
      </c>
      <c r="K685" s="33" t="str">
        <f aca="false">IF(OR(C685="",G685=""),"",G685*IFERROR(INDEX(Employees!$F$4:$F$43,MATCH(C685,Employees!$B$4:$B$43,0)),0))</f>
        <v/>
      </c>
      <c r="L685" s="28"/>
    </row>
    <row r="686" customFormat="false" ht="15" hidden="false" customHeight="false" outlineLevel="0" collapsed="false">
      <c r="A686" s="26"/>
      <c r="B686" s="19" t="str">
        <f aca="false">IF(A686="","",A686+7-WEEKDAY(A686,1)+1)</f>
        <v/>
      </c>
      <c r="C686" s="28"/>
      <c r="D686" s="29"/>
      <c r="E686" s="28"/>
      <c r="F686" s="28"/>
      <c r="G686" s="30"/>
      <c r="H686" s="23" t="str">
        <f aca="false">IF(E686="","",IFERROR(INDEX(Lists!$C$2:$C$86,MATCH(E686,Lists!$A$2:$A$86,0)),"?"))</f>
        <v/>
      </c>
      <c r="I686" s="24" t="str">
        <f aca="false">IF(OR(C686="",E686=""),"",IF(H686="Yes",IFERROR(INDEX(Employees!$E$4:$E$43,MATCH(C686,Employees!$B$4:$B$43,0)),0),0))</f>
        <v/>
      </c>
      <c r="J686" s="25" t="str">
        <f aca="false">IF(G686="","",IF(H686="Yes",G686*I686,0))</f>
        <v/>
      </c>
      <c r="K686" s="25" t="str">
        <f aca="false">IF(OR(C686="",G686=""),"",G686*IFERROR(INDEX(Employees!$F$4:$F$43,MATCH(C686,Employees!$B$4:$B$43,0)),0))</f>
        <v/>
      </c>
      <c r="L686" s="28"/>
    </row>
    <row r="687" customFormat="false" ht="15" hidden="false" customHeight="false" outlineLevel="0" collapsed="false">
      <c r="A687" s="26"/>
      <c r="B687" s="27" t="str">
        <f aca="false">IF(A687="","",A687+7-WEEKDAY(A687,1)+1)</f>
        <v/>
      </c>
      <c r="C687" s="28"/>
      <c r="D687" s="29"/>
      <c r="E687" s="28"/>
      <c r="F687" s="28"/>
      <c r="G687" s="30"/>
      <c r="H687" s="31" t="str">
        <f aca="false">IF(E687="","",IFERROR(INDEX(Lists!$C$2:$C$86,MATCH(E687,Lists!$A$2:$A$86,0)),"?"))</f>
        <v/>
      </c>
      <c r="I687" s="32" t="str">
        <f aca="false">IF(OR(C687="",E687=""),"",IF(H687="Yes",IFERROR(INDEX(Employees!$E$4:$E$43,MATCH(C687,Employees!$B$4:$B$43,0)),0),0))</f>
        <v/>
      </c>
      <c r="J687" s="33" t="str">
        <f aca="false">IF(G687="","",IF(H687="Yes",G687*I687,0))</f>
        <v/>
      </c>
      <c r="K687" s="33" t="str">
        <f aca="false">IF(OR(C687="",G687=""),"",G687*IFERROR(INDEX(Employees!$F$4:$F$43,MATCH(C687,Employees!$B$4:$B$43,0)),0))</f>
        <v/>
      </c>
      <c r="L687" s="28"/>
    </row>
    <row r="688" customFormat="false" ht="15" hidden="false" customHeight="false" outlineLevel="0" collapsed="false">
      <c r="A688" s="26"/>
      <c r="B688" s="19" t="str">
        <f aca="false">IF(A688="","",A688+7-WEEKDAY(A688,1)+1)</f>
        <v/>
      </c>
      <c r="C688" s="28"/>
      <c r="D688" s="29"/>
      <c r="E688" s="28"/>
      <c r="F688" s="28"/>
      <c r="G688" s="30"/>
      <c r="H688" s="23" t="str">
        <f aca="false">IF(E688="","",IFERROR(INDEX(Lists!$C$2:$C$86,MATCH(E688,Lists!$A$2:$A$86,0)),"?"))</f>
        <v/>
      </c>
      <c r="I688" s="24" t="str">
        <f aca="false">IF(OR(C688="",E688=""),"",IF(H688="Yes",IFERROR(INDEX(Employees!$E$4:$E$43,MATCH(C688,Employees!$B$4:$B$43,0)),0),0))</f>
        <v/>
      </c>
      <c r="J688" s="25" t="str">
        <f aca="false">IF(G688="","",IF(H688="Yes",G688*I688,0))</f>
        <v/>
      </c>
      <c r="K688" s="25" t="str">
        <f aca="false">IF(OR(C688="",G688=""),"",G688*IFERROR(INDEX(Employees!$F$4:$F$43,MATCH(C688,Employees!$B$4:$B$43,0)),0))</f>
        <v/>
      </c>
      <c r="L688" s="28"/>
    </row>
    <row r="689" customFormat="false" ht="15" hidden="false" customHeight="false" outlineLevel="0" collapsed="false">
      <c r="A689" s="26"/>
      <c r="B689" s="27" t="str">
        <f aca="false">IF(A689="","",A689+7-WEEKDAY(A689,1)+1)</f>
        <v/>
      </c>
      <c r="C689" s="28"/>
      <c r="D689" s="29"/>
      <c r="E689" s="28"/>
      <c r="F689" s="28"/>
      <c r="G689" s="30"/>
      <c r="H689" s="31" t="str">
        <f aca="false">IF(E689="","",IFERROR(INDEX(Lists!$C$2:$C$86,MATCH(E689,Lists!$A$2:$A$86,0)),"?"))</f>
        <v/>
      </c>
      <c r="I689" s="32" t="str">
        <f aca="false">IF(OR(C689="",E689=""),"",IF(H689="Yes",IFERROR(INDEX(Employees!$E$4:$E$43,MATCH(C689,Employees!$B$4:$B$43,0)),0),0))</f>
        <v/>
      </c>
      <c r="J689" s="33" t="str">
        <f aca="false">IF(G689="","",IF(H689="Yes",G689*I689,0))</f>
        <v/>
      </c>
      <c r="K689" s="33" t="str">
        <f aca="false">IF(OR(C689="",G689=""),"",G689*IFERROR(INDEX(Employees!$F$4:$F$43,MATCH(C689,Employees!$B$4:$B$43,0)),0))</f>
        <v/>
      </c>
      <c r="L689" s="28"/>
    </row>
    <row r="690" customFormat="false" ht="15" hidden="false" customHeight="false" outlineLevel="0" collapsed="false">
      <c r="A690" s="26"/>
      <c r="B690" s="19" t="str">
        <f aca="false">IF(A690="","",A690+7-WEEKDAY(A690,1)+1)</f>
        <v/>
      </c>
      <c r="C690" s="28"/>
      <c r="D690" s="29"/>
      <c r="E690" s="28"/>
      <c r="F690" s="28"/>
      <c r="G690" s="30"/>
      <c r="H690" s="23" t="str">
        <f aca="false">IF(E690="","",IFERROR(INDEX(Lists!$C$2:$C$86,MATCH(E690,Lists!$A$2:$A$86,0)),"?"))</f>
        <v/>
      </c>
      <c r="I690" s="24" t="str">
        <f aca="false">IF(OR(C690="",E690=""),"",IF(H690="Yes",IFERROR(INDEX(Employees!$E$4:$E$43,MATCH(C690,Employees!$B$4:$B$43,0)),0),0))</f>
        <v/>
      </c>
      <c r="J690" s="25" t="str">
        <f aca="false">IF(G690="","",IF(H690="Yes",G690*I690,0))</f>
        <v/>
      </c>
      <c r="K690" s="25" t="str">
        <f aca="false">IF(OR(C690="",G690=""),"",G690*IFERROR(INDEX(Employees!$F$4:$F$43,MATCH(C690,Employees!$B$4:$B$43,0)),0))</f>
        <v/>
      </c>
      <c r="L690" s="28"/>
    </row>
    <row r="691" customFormat="false" ht="15" hidden="false" customHeight="false" outlineLevel="0" collapsed="false">
      <c r="A691" s="26"/>
      <c r="B691" s="27" t="str">
        <f aca="false">IF(A691="","",A691+7-WEEKDAY(A691,1)+1)</f>
        <v/>
      </c>
      <c r="C691" s="28"/>
      <c r="D691" s="29"/>
      <c r="E691" s="28"/>
      <c r="F691" s="28"/>
      <c r="G691" s="30"/>
      <c r="H691" s="31" t="str">
        <f aca="false">IF(E691="","",IFERROR(INDEX(Lists!$C$2:$C$86,MATCH(E691,Lists!$A$2:$A$86,0)),"?"))</f>
        <v/>
      </c>
      <c r="I691" s="32" t="str">
        <f aca="false">IF(OR(C691="",E691=""),"",IF(H691="Yes",IFERROR(INDEX(Employees!$E$4:$E$43,MATCH(C691,Employees!$B$4:$B$43,0)),0),0))</f>
        <v/>
      </c>
      <c r="J691" s="33" t="str">
        <f aca="false">IF(G691="","",IF(H691="Yes",G691*I691,0))</f>
        <v/>
      </c>
      <c r="K691" s="33" t="str">
        <f aca="false">IF(OR(C691="",G691=""),"",G691*IFERROR(INDEX(Employees!$F$4:$F$43,MATCH(C691,Employees!$B$4:$B$43,0)),0))</f>
        <v/>
      </c>
      <c r="L691" s="28"/>
    </row>
    <row r="692" customFormat="false" ht="15" hidden="false" customHeight="false" outlineLevel="0" collapsed="false">
      <c r="A692" s="26"/>
      <c r="B692" s="19" t="str">
        <f aca="false">IF(A692="","",A692+7-WEEKDAY(A692,1)+1)</f>
        <v/>
      </c>
      <c r="C692" s="28"/>
      <c r="D692" s="29"/>
      <c r="E692" s="28"/>
      <c r="F692" s="28"/>
      <c r="G692" s="30"/>
      <c r="H692" s="23" t="str">
        <f aca="false">IF(E692="","",IFERROR(INDEX(Lists!$C$2:$C$86,MATCH(E692,Lists!$A$2:$A$86,0)),"?"))</f>
        <v/>
      </c>
      <c r="I692" s="24" t="str">
        <f aca="false">IF(OR(C692="",E692=""),"",IF(H692="Yes",IFERROR(INDEX(Employees!$E$4:$E$43,MATCH(C692,Employees!$B$4:$B$43,0)),0),0))</f>
        <v/>
      </c>
      <c r="J692" s="25" t="str">
        <f aca="false">IF(G692="","",IF(H692="Yes",G692*I692,0))</f>
        <v/>
      </c>
      <c r="K692" s="25" t="str">
        <f aca="false">IF(OR(C692="",G692=""),"",G692*IFERROR(INDEX(Employees!$F$4:$F$43,MATCH(C692,Employees!$B$4:$B$43,0)),0))</f>
        <v/>
      </c>
      <c r="L692" s="28"/>
    </row>
    <row r="693" customFormat="false" ht="15" hidden="false" customHeight="false" outlineLevel="0" collapsed="false">
      <c r="A693" s="26"/>
      <c r="B693" s="27" t="str">
        <f aca="false">IF(A693="","",A693+7-WEEKDAY(A693,1)+1)</f>
        <v/>
      </c>
      <c r="C693" s="28"/>
      <c r="D693" s="29"/>
      <c r="E693" s="28"/>
      <c r="F693" s="28"/>
      <c r="G693" s="30"/>
      <c r="H693" s="31" t="str">
        <f aca="false">IF(E693="","",IFERROR(INDEX(Lists!$C$2:$C$86,MATCH(E693,Lists!$A$2:$A$86,0)),"?"))</f>
        <v/>
      </c>
      <c r="I693" s="32" t="str">
        <f aca="false">IF(OR(C693="",E693=""),"",IF(H693="Yes",IFERROR(INDEX(Employees!$E$4:$E$43,MATCH(C693,Employees!$B$4:$B$43,0)),0),0))</f>
        <v/>
      </c>
      <c r="J693" s="33" t="str">
        <f aca="false">IF(G693="","",IF(H693="Yes",G693*I693,0))</f>
        <v/>
      </c>
      <c r="K693" s="33" t="str">
        <f aca="false">IF(OR(C693="",G693=""),"",G693*IFERROR(INDEX(Employees!$F$4:$F$43,MATCH(C693,Employees!$B$4:$B$43,0)),0))</f>
        <v/>
      </c>
      <c r="L693" s="28"/>
    </row>
    <row r="694" customFormat="false" ht="15" hidden="false" customHeight="false" outlineLevel="0" collapsed="false">
      <c r="A694" s="26"/>
      <c r="B694" s="19" t="str">
        <f aca="false">IF(A694="","",A694+7-WEEKDAY(A694,1)+1)</f>
        <v/>
      </c>
      <c r="C694" s="28"/>
      <c r="D694" s="29"/>
      <c r="E694" s="28"/>
      <c r="F694" s="28"/>
      <c r="G694" s="30"/>
      <c r="H694" s="23" t="str">
        <f aca="false">IF(E694="","",IFERROR(INDEX(Lists!$C$2:$C$86,MATCH(E694,Lists!$A$2:$A$86,0)),"?"))</f>
        <v/>
      </c>
      <c r="I694" s="24" t="str">
        <f aca="false">IF(OR(C694="",E694=""),"",IF(H694="Yes",IFERROR(INDEX(Employees!$E$4:$E$43,MATCH(C694,Employees!$B$4:$B$43,0)),0),0))</f>
        <v/>
      </c>
      <c r="J694" s="25" t="str">
        <f aca="false">IF(G694="","",IF(H694="Yes",G694*I694,0))</f>
        <v/>
      </c>
      <c r="K694" s="25" t="str">
        <f aca="false">IF(OR(C694="",G694=""),"",G694*IFERROR(INDEX(Employees!$F$4:$F$43,MATCH(C694,Employees!$B$4:$B$43,0)),0))</f>
        <v/>
      </c>
      <c r="L694" s="28"/>
    </row>
    <row r="695" customFormat="false" ht="15" hidden="false" customHeight="false" outlineLevel="0" collapsed="false">
      <c r="A695" s="26"/>
      <c r="B695" s="27" t="str">
        <f aca="false">IF(A695="","",A695+7-WEEKDAY(A695,1)+1)</f>
        <v/>
      </c>
      <c r="C695" s="28"/>
      <c r="D695" s="29"/>
      <c r="E695" s="28"/>
      <c r="F695" s="28"/>
      <c r="G695" s="30"/>
      <c r="H695" s="31" t="str">
        <f aca="false">IF(E695="","",IFERROR(INDEX(Lists!$C$2:$C$86,MATCH(E695,Lists!$A$2:$A$86,0)),"?"))</f>
        <v/>
      </c>
      <c r="I695" s="32" t="str">
        <f aca="false">IF(OR(C695="",E695=""),"",IF(H695="Yes",IFERROR(INDEX(Employees!$E$4:$E$43,MATCH(C695,Employees!$B$4:$B$43,0)),0),0))</f>
        <v/>
      </c>
      <c r="J695" s="33" t="str">
        <f aca="false">IF(G695="","",IF(H695="Yes",G695*I695,0))</f>
        <v/>
      </c>
      <c r="K695" s="33" t="str">
        <f aca="false">IF(OR(C695="",G695=""),"",G695*IFERROR(INDEX(Employees!$F$4:$F$43,MATCH(C695,Employees!$B$4:$B$43,0)),0))</f>
        <v/>
      </c>
      <c r="L695" s="28"/>
    </row>
    <row r="696" customFormat="false" ht="15" hidden="false" customHeight="false" outlineLevel="0" collapsed="false">
      <c r="A696" s="26"/>
      <c r="B696" s="19" t="str">
        <f aca="false">IF(A696="","",A696+7-WEEKDAY(A696,1)+1)</f>
        <v/>
      </c>
      <c r="C696" s="28"/>
      <c r="D696" s="29"/>
      <c r="E696" s="28"/>
      <c r="F696" s="28"/>
      <c r="G696" s="30"/>
      <c r="H696" s="23" t="str">
        <f aca="false">IF(E696="","",IFERROR(INDEX(Lists!$C$2:$C$86,MATCH(E696,Lists!$A$2:$A$86,0)),"?"))</f>
        <v/>
      </c>
      <c r="I696" s="24" t="str">
        <f aca="false">IF(OR(C696="",E696=""),"",IF(H696="Yes",IFERROR(INDEX(Employees!$E$4:$E$43,MATCH(C696,Employees!$B$4:$B$43,0)),0),0))</f>
        <v/>
      </c>
      <c r="J696" s="25" t="str">
        <f aca="false">IF(G696="","",IF(H696="Yes",G696*I696,0))</f>
        <v/>
      </c>
      <c r="K696" s="25" t="str">
        <f aca="false">IF(OR(C696="",G696=""),"",G696*IFERROR(INDEX(Employees!$F$4:$F$43,MATCH(C696,Employees!$B$4:$B$43,0)),0))</f>
        <v/>
      </c>
      <c r="L696" s="28"/>
    </row>
    <row r="697" customFormat="false" ht="15" hidden="false" customHeight="false" outlineLevel="0" collapsed="false">
      <c r="A697" s="26"/>
      <c r="B697" s="27" t="str">
        <f aca="false">IF(A697="","",A697+7-WEEKDAY(A697,1)+1)</f>
        <v/>
      </c>
      <c r="C697" s="28"/>
      <c r="D697" s="29"/>
      <c r="E697" s="28"/>
      <c r="F697" s="28"/>
      <c r="G697" s="30"/>
      <c r="H697" s="31" t="str">
        <f aca="false">IF(E697="","",IFERROR(INDEX(Lists!$C$2:$C$86,MATCH(E697,Lists!$A$2:$A$86,0)),"?"))</f>
        <v/>
      </c>
      <c r="I697" s="32" t="str">
        <f aca="false">IF(OR(C697="",E697=""),"",IF(H697="Yes",IFERROR(INDEX(Employees!$E$4:$E$43,MATCH(C697,Employees!$B$4:$B$43,0)),0),0))</f>
        <v/>
      </c>
      <c r="J697" s="33" t="str">
        <f aca="false">IF(G697="","",IF(H697="Yes",G697*I697,0))</f>
        <v/>
      </c>
      <c r="K697" s="33" t="str">
        <f aca="false">IF(OR(C697="",G697=""),"",G697*IFERROR(INDEX(Employees!$F$4:$F$43,MATCH(C697,Employees!$B$4:$B$43,0)),0))</f>
        <v/>
      </c>
      <c r="L697" s="28"/>
    </row>
    <row r="698" customFormat="false" ht="15" hidden="false" customHeight="false" outlineLevel="0" collapsed="false">
      <c r="A698" s="26"/>
      <c r="B698" s="19" t="str">
        <f aca="false">IF(A698="","",A698+7-WEEKDAY(A698,1)+1)</f>
        <v/>
      </c>
      <c r="C698" s="28"/>
      <c r="D698" s="29"/>
      <c r="E698" s="28"/>
      <c r="F698" s="28"/>
      <c r="G698" s="30"/>
      <c r="H698" s="23" t="str">
        <f aca="false">IF(E698="","",IFERROR(INDEX(Lists!$C$2:$C$86,MATCH(E698,Lists!$A$2:$A$86,0)),"?"))</f>
        <v/>
      </c>
      <c r="I698" s="24" t="str">
        <f aca="false">IF(OR(C698="",E698=""),"",IF(H698="Yes",IFERROR(INDEX(Employees!$E$4:$E$43,MATCH(C698,Employees!$B$4:$B$43,0)),0),0))</f>
        <v/>
      </c>
      <c r="J698" s="25" t="str">
        <f aca="false">IF(G698="","",IF(H698="Yes",G698*I698,0))</f>
        <v/>
      </c>
      <c r="K698" s="25" t="str">
        <f aca="false">IF(OR(C698="",G698=""),"",G698*IFERROR(INDEX(Employees!$F$4:$F$43,MATCH(C698,Employees!$B$4:$B$43,0)),0))</f>
        <v/>
      </c>
      <c r="L698" s="28"/>
    </row>
    <row r="699" customFormat="false" ht="15" hidden="false" customHeight="false" outlineLevel="0" collapsed="false">
      <c r="A699" s="26"/>
      <c r="B699" s="27" t="str">
        <f aca="false">IF(A699="","",A699+7-WEEKDAY(A699,1)+1)</f>
        <v/>
      </c>
      <c r="C699" s="28"/>
      <c r="D699" s="29"/>
      <c r="E699" s="28"/>
      <c r="F699" s="28"/>
      <c r="G699" s="30"/>
      <c r="H699" s="31" t="str">
        <f aca="false">IF(E699="","",IFERROR(INDEX(Lists!$C$2:$C$86,MATCH(E699,Lists!$A$2:$A$86,0)),"?"))</f>
        <v/>
      </c>
      <c r="I699" s="32" t="str">
        <f aca="false">IF(OR(C699="",E699=""),"",IF(H699="Yes",IFERROR(INDEX(Employees!$E$4:$E$43,MATCH(C699,Employees!$B$4:$B$43,0)),0),0))</f>
        <v/>
      </c>
      <c r="J699" s="33" t="str">
        <f aca="false">IF(G699="","",IF(H699="Yes",G699*I699,0))</f>
        <v/>
      </c>
      <c r="K699" s="33" t="str">
        <f aca="false">IF(OR(C699="",G699=""),"",G699*IFERROR(INDEX(Employees!$F$4:$F$43,MATCH(C699,Employees!$B$4:$B$43,0)),0))</f>
        <v/>
      </c>
      <c r="L699" s="28"/>
    </row>
    <row r="700" customFormat="false" ht="15" hidden="false" customHeight="false" outlineLevel="0" collapsed="false">
      <c r="A700" s="26"/>
      <c r="B700" s="19" t="str">
        <f aca="false">IF(A700="","",A700+7-WEEKDAY(A700,1)+1)</f>
        <v/>
      </c>
      <c r="C700" s="28"/>
      <c r="D700" s="29"/>
      <c r="E700" s="28"/>
      <c r="F700" s="28"/>
      <c r="G700" s="30"/>
      <c r="H700" s="23" t="str">
        <f aca="false">IF(E700="","",IFERROR(INDEX(Lists!$C$2:$C$86,MATCH(E700,Lists!$A$2:$A$86,0)),"?"))</f>
        <v/>
      </c>
      <c r="I700" s="24" t="str">
        <f aca="false">IF(OR(C700="",E700=""),"",IF(H700="Yes",IFERROR(INDEX(Employees!$E$4:$E$43,MATCH(C700,Employees!$B$4:$B$43,0)),0),0))</f>
        <v/>
      </c>
      <c r="J700" s="25" t="str">
        <f aca="false">IF(G700="","",IF(H700="Yes",G700*I700,0))</f>
        <v/>
      </c>
      <c r="K700" s="25" t="str">
        <f aca="false">IF(OR(C700="",G700=""),"",G700*IFERROR(INDEX(Employees!$F$4:$F$43,MATCH(C700,Employees!$B$4:$B$43,0)),0))</f>
        <v/>
      </c>
      <c r="L700" s="28"/>
    </row>
    <row r="701" customFormat="false" ht="15" hidden="false" customHeight="false" outlineLevel="0" collapsed="false">
      <c r="A701" s="26"/>
      <c r="B701" s="27" t="str">
        <f aca="false">IF(A701="","",A701+7-WEEKDAY(A701,1)+1)</f>
        <v/>
      </c>
      <c r="C701" s="28"/>
      <c r="D701" s="29"/>
      <c r="E701" s="28"/>
      <c r="F701" s="28"/>
      <c r="G701" s="30"/>
      <c r="H701" s="31" t="str">
        <f aca="false">IF(E701="","",IFERROR(INDEX(Lists!$C$2:$C$86,MATCH(E701,Lists!$A$2:$A$86,0)),"?"))</f>
        <v/>
      </c>
      <c r="I701" s="32" t="str">
        <f aca="false">IF(OR(C701="",E701=""),"",IF(H701="Yes",IFERROR(INDEX(Employees!$E$4:$E$43,MATCH(C701,Employees!$B$4:$B$43,0)),0),0))</f>
        <v/>
      </c>
      <c r="J701" s="33" t="str">
        <f aca="false">IF(G701="","",IF(H701="Yes",G701*I701,0))</f>
        <v/>
      </c>
      <c r="K701" s="33" t="str">
        <f aca="false">IF(OR(C701="",G701=""),"",G701*IFERROR(INDEX(Employees!$F$4:$F$43,MATCH(C701,Employees!$B$4:$B$43,0)),0))</f>
        <v/>
      </c>
      <c r="L701" s="28"/>
    </row>
    <row r="702" customFormat="false" ht="15" hidden="false" customHeight="false" outlineLevel="0" collapsed="false">
      <c r="A702" s="26"/>
      <c r="B702" s="19" t="str">
        <f aca="false">IF(A702="","",A702+7-WEEKDAY(A702,1)+1)</f>
        <v/>
      </c>
      <c r="C702" s="28"/>
      <c r="D702" s="29"/>
      <c r="E702" s="28"/>
      <c r="F702" s="28"/>
      <c r="G702" s="30"/>
      <c r="H702" s="23" t="str">
        <f aca="false">IF(E702="","",IFERROR(INDEX(Lists!$C$2:$C$86,MATCH(E702,Lists!$A$2:$A$86,0)),"?"))</f>
        <v/>
      </c>
      <c r="I702" s="24" t="str">
        <f aca="false">IF(OR(C702="",E702=""),"",IF(H702="Yes",IFERROR(INDEX(Employees!$E$4:$E$43,MATCH(C702,Employees!$B$4:$B$43,0)),0),0))</f>
        <v/>
      </c>
      <c r="J702" s="25" t="str">
        <f aca="false">IF(G702="","",IF(H702="Yes",G702*I702,0))</f>
        <v/>
      </c>
      <c r="K702" s="25" t="str">
        <f aca="false">IF(OR(C702="",G702=""),"",G702*IFERROR(INDEX(Employees!$F$4:$F$43,MATCH(C702,Employees!$B$4:$B$43,0)),0))</f>
        <v/>
      </c>
      <c r="L702" s="28"/>
    </row>
    <row r="703" customFormat="false" ht="15" hidden="false" customHeight="false" outlineLevel="0" collapsed="false">
      <c r="A703" s="26"/>
      <c r="B703" s="27" t="str">
        <f aca="false">IF(A703="","",A703+7-WEEKDAY(A703,1)+1)</f>
        <v/>
      </c>
      <c r="C703" s="28"/>
      <c r="D703" s="29"/>
      <c r="E703" s="28"/>
      <c r="F703" s="28"/>
      <c r="G703" s="30"/>
      <c r="H703" s="31" t="str">
        <f aca="false">IF(E703="","",IFERROR(INDEX(Lists!$C$2:$C$86,MATCH(E703,Lists!$A$2:$A$86,0)),"?"))</f>
        <v/>
      </c>
      <c r="I703" s="32" t="str">
        <f aca="false">IF(OR(C703="",E703=""),"",IF(H703="Yes",IFERROR(INDEX(Employees!$E$4:$E$43,MATCH(C703,Employees!$B$4:$B$43,0)),0),0))</f>
        <v/>
      </c>
      <c r="J703" s="33" t="str">
        <f aca="false">IF(G703="","",IF(H703="Yes",G703*I703,0))</f>
        <v/>
      </c>
      <c r="K703" s="33" t="str">
        <f aca="false">IF(OR(C703="",G703=""),"",G703*IFERROR(INDEX(Employees!$F$4:$F$43,MATCH(C703,Employees!$B$4:$B$43,0)),0))</f>
        <v/>
      </c>
      <c r="L703" s="28"/>
    </row>
    <row r="704" customFormat="false" ht="15" hidden="false" customHeight="false" outlineLevel="0" collapsed="false">
      <c r="A704" s="26"/>
      <c r="B704" s="19" t="str">
        <f aca="false">IF(A704="","",A704+7-WEEKDAY(A704,1)+1)</f>
        <v/>
      </c>
      <c r="C704" s="28"/>
      <c r="D704" s="29"/>
      <c r="E704" s="28"/>
      <c r="F704" s="28"/>
      <c r="G704" s="30"/>
      <c r="H704" s="23" t="str">
        <f aca="false">IF(E704="","",IFERROR(INDEX(Lists!$C$2:$C$86,MATCH(E704,Lists!$A$2:$A$86,0)),"?"))</f>
        <v/>
      </c>
      <c r="I704" s="24" t="str">
        <f aca="false">IF(OR(C704="",E704=""),"",IF(H704="Yes",IFERROR(INDEX(Employees!$E$4:$E$43,MATCH(C704,Employees!$B$4:$B$43,0)),0),0))</f>
        <v/>
      </c>
      <c r="J704" s="25" t="str">
        <f aca="false">IF(G704="","",IF(H704="Yes",G704*I704,0))</f>
        <v/>
      </c>
      <c r="K704" s="25" t="str">
        <f aca="false">IF(OR(C704="",G704=""),"",G704*IFERROR(INDEX(Employees!$F$4:$F$43,MATCH(C704,Employees!$B$4:$B$43,0)),0))</f>
        <v/>
      </c>
      <c r="L704" s="28"/>
    </row>
    <row r="705" customFormat="false" ht="15" hidden="false" customHeight="false" outlineLevel="0" collapsed="false">
      <c r="A705" s="26"/>
      <c r="B705" s="27" t="str">
        <f aca="false">IF(A705="","",A705+7-WEEKDAY(A705,1)+1)</f>
        <v/>
      </c>
      <c r="C705" s="28"/>
      <c r="D705" s="29"/>
      <c r="E705" s="28"/>
      <c r="F705" s="28"/>
      <c r="G705" s="30"/>
      <c r="H705" s="31" t="str">
        <f aca="false">IF(E705="","",IFERROR(INDEX(Lists!$C$2:$C$86,MATCH(E705,Lists!$A$2:$A$86,0)),"?"))</f>
        <v/>
      </c>
      <c r="I705" s="32" t="str">
        <f aca="false">IF(OR(C705="",E705=""),"",IF(H705="Yes",IFERROR(INDEX(Employees!$E$4:$E$43,MATCH(C705,Employees!$B$4:$B$43,0)),0),0))</f>
        <v/>
      </c>
      <c r="J705" s="33" t="str">
        <f aca="false">IF(G705="","",IF(H705="Yes",G705*I705,0))</f>
        <v/>
      </c>
      <c r="K705" s="33" t="str">
        <f aca="false">IF(OR(C705="",G705=""),"",G705*IFERROR(INDEX(Employees!$F$4:$F$43,MATCH(C705,Employees!$B$4:$B$43,0)),0))</f>
        <v/>
      </c>
      <c r="L705" s="28"/>
    </row>
    <row r="706" customFormat="false" ht="15" hidden="false" customHeight="false" outlineLevel="0" collapsed="false">
      <c r="A706" s="26"/>
      <c r="B706" s="19" t="str">
        <f aca="false">IF(A706="","",A706+7-WEEKDAY(A706,1)+1)</f>
        <v/>
      </c>
      <c r="C706" s="28"/>
      <c r="D706" s="29"/>
      <c r="E706" s="28"/>
      <c r="F706" s="28"/>
      <c r="G706" s="30"/>
      <c r="H706" s="23" t="str">
        <f aca="false">IF(E706="","",IFERROR(INDEX(Lists!$C$2:$C$86,MATCH(E706,Lists!$A$2:$A$86,0)),"?"))</f>
        <v/>
      </c>
      <c r="I706" s="24" t="str">
        <f aca="false">IF(OR(C706="",E706=""),"",IF(H706="Yes",IFERROR(INDEX(Employees!$E$4:$E$43,MATCH(C706,Employees!$B$4:$B$43,0)),0),0))</f>
        <v/>
      </c>
      <c r="J706" s="25" t="str">
        <f aca="false">IF(G706="","",IF(H706="Yes",G706*I706,0))</f>
        <v/>
      </c>
      <c r="K706" s="25" t="str">
        <f aca="false">IF(OR(C706="",G706=""),"",G706*IFERROR(INDEX(Employees!$F$4:$F$43,MATCH(C706,Employees!$B$4:$B$43,0)),0))</f>
        <v/>
      </c>
      <c r="L706" s="28"/>
    </row>
    <row r="707" customFormat="false" ht="15" hidden="false" customHeight="false" outlineLevel="0" collapsed="false">
      <c r="A707" s="26"/>
      <c r="B707" s="27" t="str">
        <f aca="false">IF(A707="","",A707+7-WEEKDAY(A707,1)+1)</f>
        <v/>
      </c>
      <c r="C707" s="28"/>
      <c r="D707" s="29"/>
      <c r="E707" s="28"/>
      <c r="F707" s="28"/>
      <c r="G707" s="30"/>
      <c r="H707" s="31" t="str">
        <f aca="false">IF(E707="","",IFERROR(INDEX(Lists!$C$2:$C$86,MATCH(E707,Lists!$A$2:$A$86,0)),"?"))</f>
        <v/>
      </c>
      <c r="I707" s="32" t="str">
        <f aca="false">IF(OR(C707="",E707=""),"",IF(H707="Yes",IFERROR(INDEX(Employees!$E$4:$E$43,MATCH(C707,Employees!$B$4:$B$43,0)),0),0))</f>
        <v/>
      </c>
      <c r="J707" s="33" t="str">
        <f aca="false">IF(G707="","",IF(H707="Yes",G707*I707,0))</f>
        <v/>
      </c>
      <c r="K707" s="33" t="str">
        <f aca="false">IF(OR(C707="",G707=""),"",G707*IFERROR(INDEX(Employees!$F$4:$F$43,MATCH(C707,Employees!$B$4:$B$43,0)),0))</f>
        <v/>
      </c>
      <c r="L707" s="28"/>
    </row>
    <row r="708" customFormat="false" ht="15" hidden="false" customHeight="false" outlineLevel="0" collapsed="false">
      <c r="A708" s="26"/>
      <c r="B708" s="19" t="str">
        <f aca="false">IF(A708="","",A708+7-WEEKDAY(A708,1)+1)</f>
        <v/>
      </c>
      <c r="C708" s="28"/>
      <c r="D708" s="29"/>
      <c r="E708" s="28"/>
      <c r="F708" s="28"/>
      <c r="G708" s="30"/>
      <c r="H708" s="23" t="str">
        <f aca="false">IF(E708="","",IFERROR(INDEX(Lists!$C$2:$C$86,MATCH(E708,Lists!$A$2:$A$86,0)),"?"))</f>
        <v/>
      </c>
      <c r="I708" s="24" t="str">
        <f aca="false">IF(OR(C708="",E708=""),"",IF(H708="Yes",IFERROR(INDEX(Employees!$E$4:$E$43,MATCH(C708,Employees!$B$4:$B$43,0)),0),0))</f>
        <v/>
      </c>
      <c r="J708" s="25" t="str">
        <f aca="false">IF(G708="","",IF(H708="Yes",G708*I708,0))</f>
        <v/>
      </c>
      <c r="K708" s="25" t="str">
        <f aca="false">IF(OR(C708="",G708=""),"",G708*IFERROR(INDEX(Employees!$F$4:$F$43,MATCH(C708,Employees!$B$4:$B$43,0)),0))</f>
        <v/>
      </c>
      <c r="L708" s="28"/>
    </row>
    <row r="709" customFormat="false" ht="15" hidden="false" customHeight="false" outlineLevel="0" collapsed="false">
      <c r="A709" s="26"/>
      <c r="B709" s="27" t="str">
        <f aca="false">IF(A709="","",A709+7-WEEKDAY(A709,1)+1)</f>
        <v/>
      </c>
      <c r="C709" s="28"/>
      <c r="D709" s="29"/>
      <c r="E709" s="28"/>
      <c r="F709" s="28"/>
      <c r="G709" s="30"/>
      <c r="H709" s="31" t="str">
        <f aca="false">IF(E709="","",IFERROR(INDEX(Lists!$C$2:$C$86,MATCH(E709,Lists!$A$2:$A$86,0)),"?"))</f>
        <v/>
      </c>
      <c r="I709" s="32" t="str">
        <f aca="false">IF(OR(C709="",E709=""),"",IF(H709="Yes",IFERROR(INDEX(Employees!$E$4:$E$43,MATCH(C709,Employees!$B$4:$B$43,0)),0),0))</f>
        <v/>
      </c>
      <c r="J709" s="33" t="str">
        <f aca="false">IF(G709="","",IF(H709="Yes",G709*I709,0))</f>
        <v/>
      </c>
      <c r="K709" s="33" t="str">
        <f aca="false">IF(OR(C709="",G709=""),"",G709*IFERROR(INDEX(Employees!$F$4:$F$43,MATCH(C709,Employees!$B$4:$B$43,0)),0))</f>
        <v/>
      </c>
      <c r="L709" s="28"/>
    </row>
    <row r="710" customFormat="false" ht="15" hidden="false" customHeight="false" outlineLevel="0" collapsed="false">
      <c r="A710" s="26"/>
      <c r="B710" s="19" t="str">
        <f aca="false">IF(A710="","",A710+7-WEEKDAY(A710,1)+1)</f>
        <v/>
      </c>
      <c r="C710" s="28"/>
      <c r="D710" s="29"/>
      <c r="E710" s="28"/>
      <c r="F710" s="28"/>
      <c r="G710" s="30"/>
      <c r="H710" s="23" t="str">
        <f aca="false">IF(E710="","",IFERROR(INDEX(Lists!$C$2:$C$86,MATCH(E710,Lists!$A$2:$A$86,0)),"?"))</f>
        <v/>
      </c>
      <c r="I710" s="24" t="str">
        <f aca="false">IF(OR(C710="",E710=""),"",IF(H710="Yes",IFERROR(INDEX(Employees!$E$4:$E$43,MATCH(C710,Employees!$B$4:$B$43,0)),0),0))</f>
        <v/>
      </c>
      <c r="J710" s="25" t="str">
        <f aca="false">IF(G710="","",IF(H710="Yes",G710*I710,0))</f>
        <v/>
      </c>
      <c r="K710" s="25" t="str">
        <f aca="false">IF(OR(C710="",G710=""),"",G710*IFERROR(INDEX(Employees!$F$4:$F$43,MATCH(C710,Employees!$B$4:$B$43,0)),0))</f>
        <v/>
      </c>
      <c r="L710" s="28"/>
    </row>
    <row r="711" customFormat="false" ht="15" hidden="false" customHeight="false" outlineLevel="0" collapsed="false">
      <c r="A711" s="26"/>
      <c r="B711" s="27" t="str">
        <f aca="false">IF(A711="","",A711+7-WEEKDAY(A711,1)+1)</f>
        <v/>
      </c>
      <c r="C711" s="28"/>
      <c r="D711" s="29"/>
      <c r="E711" s="28"/>
      <c r="F711" s="28"/>
      <c r="G711" s="30"/>
      <c r="H711" s="31" t="str">
        <f aca="false">IF(E711="","",IFERROR(INDEX(Lists!$C$2:$C$86,MATCH(E711,Lists!$A$2:$A$86,0)),"?"))</f>
        <v/>
      </c>
      <c r="I711" s="32" t="str">
        <f aca="false">IF(OR(C711="",E711=""),"",IF(H711="Yes",IFERROR(INDEX(Employees!$E$4:$E$43,MATCH(C711,Employees!$B$4:$B$43,0)),0),0))</f>
        <v/>
      </c>
      <c r="J711" s="33" t="str">
        <f aca="false">IF(G711="","",IF(H711="Yes",G711*I711,0))</f>
        <v/>
      </c>
      <c r="K711" s="33" t="str">
        <f aca="false">IF(OR(C711="",G711=""),"",G711*IFERROR(INDEX(Employees!$F$4:$F$43,MATCH(C711,Employees!$B$4:$B$43,0)),0))</f>
        <v/>
      </c>
      <c r="L711" s="28"/>
    </row>
    <row r="712" customFormat="false" ht="15" hidden="false" customHeight="false" outlineLevel="0" collapsed="false">
      <c r="A712" s="26"/>
      <c r="B712" s="19" t="str">
        <f aca="false">IF(A712="","",A712+7-WEEKDAY(A712,1)+1)</f>
        <v/>
      </c>
      <c r="C712" s="28"/>
      <c r="D712" s="29"/>
      <c r="E712" s="28"/>
      <c r="F712" s="28"/>
      <c r="G712" s="30"/>
      <c r="H712" s="23" t="str">
        <f aca="false">IF(E712="","",IFERROR(INDEX(Lists!$C$2:$C$86,MATCH(E712,Lists!$A$2:$A$86,0)),"?"))</f>
        <v/>
      </c>
      <c r="I712" s="24" t="str">
        <f aca="false">IF(OR(C712="",E712=""),"",IF(H712="Yes",IFERROR(INDEX(Employees!$E$4:$E$43,MATCH(C712,Employees!$B$4:$B$43,0)),0),0))</f>
        <v/>
      </c>
      <c r="J712" s="25" t="str">
        <f aca="false">IF(G712="","",IF(H712="Yes",G712*I712,0))</f>
        <v/>
      </c>
      <c r="K712" s="25" t="str">
        <f aca="false">IF(OR(C712="",G712=""),"",G712*IFERROR(INDEX(Employees!$F$4:$F$43,MATCH(C712,Employees!$B$4:$B$43,0)),0))</f>
        <v/>
      </c>
      <c r="L712" s="28"/>
    </row>
    <row r="713" customFormat="false" ht="15" hidden="false" customHeight="false" outlineLevel="0" collapsed="false">
      <c r="A713" s="26"/>
      <c r="B713" s="27" t="str">
        <f aca="false">IF(A713="","",A713+7-WEEKDAY(A713,1)+1)</f>
        <v/>
      </c>
      <c r="C713" s="28"/>
      <c r="D713" s="29"/>
      <c r="E713" s="28"/>
      <c r="F713" s="28"/>
      <c r="G713" s="30"/>
      <c r="H713" s="31" t="str">
        <f aca="false">IF(E713="","",IFERROR(INDEX(Lists!$C$2:$C$86,MATCH(E713,Lists!$A$2:$A$86,0)),"?"))</f>
        <v/>
      </c>
      <c r="I713" s="32" t="str">
        <f aca="false">IF(OR(C713="",E713=""),"",IF(H713="Yes",IFERROR(INDEX(Employees!$E$4:$E$43,MATCH(C713,Employees!$B$4:$B$43,0)),0),0))</f>
        <v/>
      </c>
      <c r="J713" s="33" t="str">
        <f aca="false">IF(G713="","",IF(H713="Yes",G713*I713,0))</f>
        <v/>
      </c>
      <c r="K713" s="33" t="str">
        <f aca="false">IF(OR(C713="",G713=""),"",G713*IFERROR(INDEX(Employees!$F$4:$F$43,MATCH(C713,Employees!$B$4:$B$43,0)),0))</f>
        <v/>
      </c>
      <c r="L713" s="28"/>
    </row>
    <row r="714" customFormat="false" ht="15" hidden="false" customHeight="false" outlineLevel="0" collapsed="false">
      <c r="A714" s="26"/>
      <c r="B714" s="19" t="str">
        <f aca="false">IF(A714="","",A714+7-WEEKDAY(A714,1)+1)</f>
        <v/>
      </c>
      <c r="C714" s="28"/>
      <c r="D714" s="29"/>
      <c r="E714" s="28"/>
      <c r="F714" s="28"/>
      <c r="G714" s="30"/>
      <c r="H714" s="23" t="str">
        <f aca="false">IF(E714="","",IFERROR(INDEX(Lists!$C$2:$C$86,MATCH(E714,Lists!$A$2:$A$86,0)),"?"))</f>
        <v/>
      </c>
      <c r="I714" s="24" t="str">
        <f aca="false">IF(OR(C714="",E714=""),"",IF(H714="Yes",IFERROR(INDEX(Employees!$E$4:$E$43,MATCH(C714,Employees!$B$4:$B$43,0)),0),0))</f>
        <v/>
      </c>
      <c r="J714" s="25" t="str">
        <f aca="false">IF(G714="","",IF(H714="Yes",G714*I714,0))</f>
        <v/>
      </c>
      <c r="K714" s="25" t="str">
        <f aca="false">IF(OR(C714="",G714=""),"",G714*IFERROR(INDEX(Employees!$F$4:$F$43,MATCH(C714,Employees!$B$4:$B$43,0)),0))</f>
        <v/>
      </c>
      <c r="L714" s="28"/>
    </row>
    <row r="715" customFormat="false" ht="15" hidden="false" customHeight="false" outlineLevel="0" collapsed="false">
      <c r="A715" s="26"/>
      <c r="B715" s="27" t="str">
        <f aca="false">IF(A715="","",A715+7-WEEKDAY(A715,1)+1)</f>
        <v/>
      </c>
      <c r="C715" s="28"/>
      <c r="D715" s="29"/>
      <c r="E715" s="28"/>
      <c r="F715" s="28"/>
      <c r="G715" s="30"/>
      <c r="H715" s="31" t="str">
        <f aca="false">IF(E715="","",IFERROR(INDEX(Lists!$C$2:$C$86,MATCH(E715,Lists!$A$2:$A$86,0)),"?"))</f>
        <v/>
      </c>
      <c r="I715" s="32" t="str">
        <f aca="false">IF(OR(C715="",E715=""),"",IF(H715="Yes",IFERROR(INDEX(Employees!$E$4:$E$43,MATCH(C715,Employees!$B$4:$B$43,0)),0),0))</f>
        <v/>
      </c>
      <c r="J715" s="33" t="str">
        <f aca="false">IF(G715="","",IF(H715="Yes",G715*I715,0))</f>
        <v/>
      </c>
      <c r="K715" s="33" t="str">
        <f aca="false">IF(OR(C715="",G715=""),"",G715*IFERROR(INDEX(Employees!$F$4:$F$43,MATCH(C715,Employees!$B$4:$B$43,0)),0))</f>
        <v/>
      </c>
      <c r="L715" s="28"/>
    </row>
    <row r="716" customFormat="false" ht="15" hidden="false" customHeight="false" outlineLevel="0" collapsed="false">
      <c r="A716" s="26"/>
      <c r="B716" s="19" t="str">
        <f aca="false">IF(A716="","",A716+7-WEEKDAY(A716,1)+1)</f>
        <v/>
      </c>
      <c r="C716" s="28"/>
      <c r="D716" s="29"/>
      <c r="E716" s="28"/>
      <c r="F716" s="28"/>
      <c r="G716" s="30"/>
      <c r="H716" s="23" t="str">
        <f aca="false">IF(E716="","",IFERROR(INDEX(Lists!$C$2:$C$86,MATCH(E716,Lists!$A$2:$A$86,0)),"?"))</f>
        <v/>
      </c>
      <c r="I716" s="24" t="str">
        <f aca="false">IF(OR(C716="",E716=""),"",IF(H716="Yes",IFERROR(INDEX(Employees!$E$4:$E$43,MATCH(C716,Employees!$B$4:$B$43,0)),0),0))</f>
        <v/>
      </c>
      <c r="J716" s="25" t="str">
        <f aca="false">IF(G716="","",IF(H716="Yes",G716*I716,0))</f>
        <v/>
      </c>
      <c r="K716" s="25" t="str">
        <f aca="false">IF(OR(C716="",G716=""),"",G716*IFERROR(INDEX(Employees!$F$4:$F$43,MATCH(C716,Employees!$B$4:$B$43,0)),0))</f>
        <v/>
      </c>
      <c r="L716" s="28"/>
    </row>
    <row r="717" customFormat="false" ht="15" hidden="false" customHeight="false" outlineLevel="0" collapsed="false">
      <c r="A717" s="26"/>
      <c r="B717" s="27" t="str">
        <f aca="false">IF(A717="","",A717+7-WEEKDAY(A717,1)+1)</f>
        <v/>
      </c>
      <c r="C717" s="28"/>
      <c r="D717" s="29"/>
      <c r="E717" s="28"/>
      <c r="F717" s="28"/>
      <c r="G717" s="30"/>
      <c r="H717" s="31" t="str">
        <f aca="false">IF(E717="","",IFERROR(INDEX(Lists!$C$2:$C$86,MATCH(E717,Lists!$A$2:$A$86,0)),"?"))</f>
        <v/>
      </c>
      <c r="I717" s="32" t="str">
        <f aca="false">IF(OR(C717="",E717=""),"",IF(H717="Yes",IFERROR(INDEX(Employees!$E$4:$E$43,MATCH(C717,Employees!$B$4:$B$43,0)),0),0))</f>
        <v/>
      </c>
      <c r="J717" s="33" t="str">
        <f aca="false">IF(G717="","",IF(H717="Yes",G717*I717,0))</f>
        <v/>
      </c>
      <c r="K717" s="33" t="str">
        <f aca="false">IF(OR(C717="",G717=""),"",G717*IFERROR(INDEX(Employees!$F$4:$F$43,MATCH(C717,Employees!$B$4:$B$43,0)),0))</f>
        <v/>
      </c>
      <c r="L717" s="28"/>
    </row>
    <row r="718" customFormat="false" ht="15" hidden="false" customHeight="false" outlineLevel="0" collapsed="false">
      <c r="A718" s="26"/>
      <c r="B718" s="19" t="str">
        <f aca="false">IF(A718="","",A718+7-WEEKDAY(A718,1)+1)</f>
        <v/>
      </c>
      <c r="C718" s="28"/>
      <c r="D718" s="29"/>
      <c r="E718" s="28"/>
      <c r="F718" s="28"/>
      <c r="G718" s="30"/>
      <c r="H718" s="23" t="str">
        <f aca="false">IF(E718="","",IFERROR(INDEX(Lists!$C$2:$C$86,MATCH(E718,Lists!$A$2:$A$86,0)),"?"))</f>
        <v/>
      </c>
      <c r="I718" s="24" t="str">
        <f aca="false">IF(OR(C718="",E718=""),"",IF(H718="Yes",IFERROR(INDEX(Employees!$E$4:$E$43,MATCH(C718,Employees!$B$4:$B$43,0)),0),0))</f>
        <v/>
      </c>
      <c r="J718" s="25" t="str">
        <f aca="false">IF(G718="","",IF(H718="Yes",G718*I718,0))</f>
        <v/>
      </c>
      <c r="K718" s="25" t="str">
        <f aca="false">IF(OR(C718="",G718=""),"",G718*IFERROR(INDEX(Employees!$F$4:$F$43,MATCH(C718,Employees!$B$4:$B$43,0)),0))</f>
        <v/>
      </c>
      <c r="L718" s="28"/>
    </row>
    <row r="719" customFormat="false" ht="15" hidden="false" customHeight="false" outlineLevel="0" collapsed="false">
      <c r="A719" s="26"/>
      <c r="B719" s="27" t="str">
        <f aca="false">IF(A719="","",A719+7-WEEKDAY(A719,1)+1)</f>
        <v/>
      </c>
      <c r="C719" s="28"/>
      <c r="D719" s="29"/>
      <c r="E719" s="28"/>
      <c r="F719" s="28"/>
      <c r="G719" s="30"/>
      <c r="H719" s="31" t="str">
        <f aca="false">IF(E719="","",IFERROR(INDEX(Lists!$C$2:$C$86,MATCH(E719,Lists!$A$2:$A$86,0)),"?"))</f>
        <v/>
      </c>
      <c r="I719" s="32" t="str">
        <f aca="false">IF(OR(C719="",E719=""),"",IF(H719="Yes",IFERROR(INDEX(Employees!$E$4:$E$43,MATCH(C719,Employees!$B$4:$B$43,0)),0),0))</f>
        <v/>
      </c>
      <c r="J719" s="33" t="str">
        <f aca="false">IF(G719="","",IF(H719="Yes",G719*I719,0))</f>
        <v/>
      </c>
      <c r="K719" s="33" t="str">
        <f aca="false">IF(OR(C719="",G719=""),"",G719*IFERROR(INDEX(Employees!$F$4:$F$43,MATCH(C719,Employees!$B$4:$B$43,0)),0))</f>
        <v/>
      </c>
      <c r="L719" s="28"/>
    </row>
    <row r="720" customFormat="false" ht="15" hidden="false" customHeight="false" outlineLevel="0" collapsed="false">
      <c r="A720" s="26"/>
      <c r="B720" s="19" t="str">
        <f aca="false">IF(A720="","",A720+7-WEEKDAY(A720,1)+1)</f>
        <v/>
      </c>
      <c r="C720" s="28"/>
      <c r="D720" s="29"/>
      <c r="E720" s="28"/>
      <c r="F720" s="28"/>
      <c r="G720" s="30"/>
      <c r="H720" s="23" t="str">
        <f aca="false">IF(E720="","",IFERROR(INDEX(Lists!$C$2:$C$86,MATCH(E720,Lists!$A$2:$A$86,0)),"?"))</f>
        <v/>
      </c>
      <c r="I720" s="24" t="str">
        <f aca="false">IF(OR(C720="",E720=""),"",IF(H720="Yes",IFERROR(INDEX(Employees!$E$4:$E$43,MATCH(C720,Employees!$B$4:$B$43,0)),0),0))</f>
        <v/>
      </c>
      <c r="J720" s="25" t="str">
        <f aca="false">IF(G720="","",IF(H720="Yes",G720*I720,0))</f>
        <v/>
      </c>
      <c r="K720" s="25" t="str">
        <f aca="false">IF(OR(C720="",G720=""),"",G720*IFERROR(INDEX(Employees!$F$4:$F$43,MATCH(C720,Employees!$B$4:$B$43,0)),0))</f>
        <v/>
      </c>
      <c r="L720" s="28"/>
    </row>
    <row r="721" customFormat="false" ht="15" hidden="false" customHeight="false" outlineLevel="0" collapsed="false">
      <c r="A721" s="26"/>
      <c r="B721" s="27" t="str">
        <f aca="false">IF(A721="","",A721+7-WEEKDAY(A721,1)+1)</f>
        <v/>
      </c>
      <c r="C721" s="28"/>
      <c r="D721" s="29"/>
      <c r="E721" s="28"/>
      <c r="F721" s="28"/>
      <c r="G721" s="30"/>
      <c r="H721" s="31" t="str">
        <f aca="false">IF(E721="","",IFERROR(INDEX(Lists!$C$2:$C$86,MATCH(E721,Lists!$A$2:$A$86,0)),"?"))</f>
        <v/>
      </c>
      <c r="I721" s="32" t="str">
        <f aca="false">IF(OR(C721="",E721=""),"",IF(H721="Yes",IFERROR(INDEX(Employees!$E$4:$E$43,MATCH(C721,Employees!$B$4:$B$43,0)),0),0))</f>
        <v/>
      </c>
      <c r="J721" s="33" t="str">
        <f aca="false">IF(G721="","",IF(H721="Yes",G721*I721,0))</f>
        <v/>
      </c>
      <c r="K721" s="33" t="str">
        <f aca="false">IF(OR(C721="",G721=""),"",G721*IFERROR(INDEX(Employees!$F$4:$F$43,MATCH(C721,Employees!$B$4:$B$43,0)),0))</f>
        <v/>
      </c>
      <c r="L721" s="28"/>
    </row>
    <row r="722" customFormat="false" ht="15" hidden="false" customHeight="false" outlineLevel="0" collapsed="false">
      <c r="A722" s="26"/>
      <c r="B722" s="19" t="str">
        <f aca="false">IF(A722="","",A722+7-WEEKDAY(A722,1)+1)</f>
        <v/>
      </c>
      <c r="C722" s="28"/>
      <c r="D722" s="29"/>
      <c r="E722" s="28"/>
      <c r="F722" s="28"/>
      <c r="G722" s="30"/>
      <c r="H722" s="23" t="str">
        <f aca="false">IF(E722="","",IFERROR(INDEX(Lists!$C$2:$C$86,MATCH(E722,Lists!$A$2:$A$86,0)),"?"))</f>
        <v/>
      </c>
      <c r="I722" s="24" t="str">
        <f aca="false">IF(OR(C722="",E722=""),"",IF(H722="Yes",IFERROR(INDEX(Employees!$E$4:$E$43,MATCH(C722,Employees!$B$4:$B$43,0)),0),0))</f>
        <v/>
      </c>
      <c r="J722" s="25" t="str">
        <f aca="false">IF(G722="","",IF(H722="Yes",G722*I722,0))</f>
        <v/>
      </c>
      <c r="K722" s="25" t="str">
        <f aca="false">IF(OR(C722="",G722=""),"",G722*IFERROR(INDEX(Employees!$F$4:$F$43,MATCH(C722,Employees!$B$4:$B$43,0)),0))</f>
        <v/>
      </c>
      <c r="L722" s="28"/>
    </row>
    <row r="723" customFormat="false" ht="15" hidden="false" customHeight="false" outlineLevel="0" collapsed="false">
      <c r="A723" s="26"/>
      <c r="B723" s="27" t="str">
        <f aca="false">IF(A723="","",A723+7-WEEKDAY(A723,1)+1)</f>
        <v/>
      </c>
      <c r="C723" s="28"/>
      <c r="D723" s="29"/>
      <c r="E723" s="28"/>
      <c r="F723" s="28"/>
      <c r="G723" s="30"/>
      <c r="H723" s="31" t="str">
        <f aca="false">IF(E723="","",IFERROR(INDEX(Lists!$C$2:$C$86,MATCH(E723,Lists!$A$2:$A$86,0)),"?"))</f>
        <v/>
      </c>
      <c r="I723" s="32" t="str">
        <f aca="false">IF(OR(C723="",E723=""),"",IF(H723="Yes",IFERROR(INDEX(Employees!$E$4:$E$43,MATCH(C723,Employees!$B$4:$B$43,0)),0),0))</f>
        <v/>
      </c>
      <c r="J723" s="33" t="str">
        <f aca="false">IF(G723="","",IF(H723="Yes",G723*I723,0))</f>
        <v/>
      </c>
      <c r="K723" s="33" t="str">
        <f aca="false">IF(OR(C723="",G723=""),"",G723*IFERROR(INDEX(Employees!$F$4:$F$43,MATCH(C723,Employees!$B$4:$B$43,0)),0))</f>
        <v/>
      </c>
      <c r="L723" s="28"/>
    </row>
    <row r="724" customFormat="false" ht="15" hidden="false" customHeight="false" outlineLevel="0" collapsed="false">
      <c r="A724" s="26"/>
      <c r="B724" s="19" t="str">
        <f aca="false">IF(A724="","",A724+7-WEEKDAY(A724,1)+1)</f>
        <v/>
      </c>
      <c r="C724" s="28"/>
      <c r="D724" s="29"/>
      <c r="E724" s="28"/>
      <c r="F724" s="28"/>
      <c r="G724" s="30"/>
      <c r="H724" s="23" t="str">
        <f aca="false">IF(E724="","",IFERROR(INDEX(Lists!$C$2:$C$86,MATCH(E724,Lists!$A$2:$A$86,0)),"?"))</f>
        <v/>
      </c>
      <c r="I724" s="24" t="str">
        <f aca="false">IF(OR(C724="",E724=""),"",IF(H724="Yes",IFERROR(INDEX(Employees!$E$4:$E$43,MATCH(C724,Employees!$B$4:$B$43,0)),0),0))</f>
        <v/>
      </c>
      <c r="J724" s="25" t="str">
        <f aca="false">IF(G724="","",IF(H724="Yes",G724*I724,0))</f>
        <v/>
      </c>
      <c r="K724" s="25" t="str">
        <f aca="false">IF(OR(C724="",G724=""),"",G724*IFERROR(INDEX(Employees!$F$4:$F$43,MATCH(C724,Employees!$B$4:$B$43,0)),0))</f>
        <v/>
      </c>
      <c r="L724" s="28"/>
    </row>
    <row r="725" customFormat="false" ht="15" hidden="false" customHeight="false" outlineLevel="0" collapsed="false">
      <c r="A725" s="26"/>
      <c r="B725" s="27" t="str">
        <f aca="false">IF(A725="","",A725+7-WEEKDAY(A725,1)+1)</f>
        <v/>
      </c>
      <c r="C725" s="28"/>
      <c r="D725" s="29"/>
      <c r="E725" s="28"/>
      <c r="F725" s="28"/>
      <c r="G725" s="30"/>
      <c r="H725" s="31" t="str">
        <f aca="false">IF(E725="","",IFERROR(INDEX(Lists!$C$2:$C$86,MATCH(E725,Lists!$A$2:$A$86,0)),"?"))</f>
        <v/>
      </c>
      <c r="I725" s="32" t="str">
        <f aca="false">IF(OR(C725="",E725=""),"",IF(H725="Yes",IFERROR(INDEX(Employees!$E$4:$E$43,MATCH(C725,Employees!$B$4:$B$43,0)),0),0))</f>
        <v/>
      </c>
      <c r="J725" s="33" t="str">
        <f aca="false">IF(G725="","",IF(H725="Yes",G725*I725,0))</f>
        <v/>
      </c>
      <c r="K725" s="33" t="str">
        <f aca="false">IF(OR(C725="",G725=""),"",G725*IFERROR(INDEX(Employees!$F$4:$F$43,MATCH(C725,Employees!$B$4:$B$43,0)),0))</f>
        <v/>
      </c>
      <c r="L725" s="28"/>
    </row>
    <row r="726" customFormat="false" ht="15" hidden="false" customHeight="false" outlineLevel="0" collapsed="false">
      <c r="A726" s="26"/>
      <c r="B726" s="19" t="str">
        <f aca="false">IF(A726="","",A726+7-WEEKDAY(A726,1)+1)</f>
        <v/>
      </c>
      <c r="C726" s="28"/>
      <c r="D726" s="29"/>
      <c r="E726" s="28"/>
      <c r="F726" s="28"/>
      <c r="G726" s="30"/>
      <c r="H726" s="23" t="str">
        <f aca="false">IF(E726="","",IFERROR(INDEX(Lists!$C$2:$C$86,MATCH(E726,Lists!$A$2:$A$86,0)),"?"))</f>
        <v/>
      </c>
      <c r="I726" s="24" t="str">
        <f aca="false">IF(OR(C726="",E726=""),"",IF(H726="Yes",IFERROR(INDEX(Employees!$E$4:$E$43,MATCH(C726,Employees!$B$4:$B$43,0)),0),0))</f>
        <v/>
      </c>
      <c r="J726" s="25" t="str">
        <f aca="false">IF(G726="","",IF(H726="Yes",G726*I726,0))</f>
        <v/>
      </c>
      <c r="K726" s="25" t="str">
        <f aca="false">IF(OR(C726="",G726=""),"",G726*IFERROR(INDEX(Employees!$F$4:$F$43,MATCH(C726,Employees!$B$4:$B$43,0)),0))</f>
        <v/>
      </c>
      <c r="L726" s="28"/>
    </row>
    <row r="727" customFormat="false" ht="15" hidden="false" customHeight="false" outlineLevel="0" collapsed="false">
      <c r="A727" s="26"/>
      <c r="B727" s="27" t="str">
        <f aca="false">IF(A727="","",A727+7-WEEKDAY(A727,1)+1)</f>
        <v/>
      </c>
      <c r="C727" s="28"/>
      <c r="D727" s="29"/>
      <c r="E727" s="28"/>
      <c r="F727" s="28"/>
      <c r="G727" s="30"/>
      <c r="H727" s="31" t="str">
        <f aca="false">IF(E727="","",IFERROR(INDEX(Lists!$C$2:$C$86,MATCH(E727,Lists!$A$2:$A$86,0)),"?"))</f>
        <v/>
      </c>
      <c r="I727" s="32" t="str">
        <f aca="false">IF(OR(C727="",E727=""),"",IF(H727="Yes",IFERROR(INDEX(Employees!$E$4:$E$43,MATCH(C727,Employees!$B$4:$B$43,0)),0),0))</f>
        <v/>
      </c>
      <c r="J727" s="33" t="str">
        <f aca="false">IF(G727="","",IF(H727="Yes",G727*I727,0))</f>
        <v/>
      </c>
      <c r="K727" s="33" t="str">
        <f aca="false">IF(OR(C727="",G727=""),"",G727*IFERROR(INDEX(Employees!$F$4:$F$43,MATCH(C727,Employees!$B$4:$B$43,0)),0))</f>
        <v/>
      </c>
      <c r="L727" s="28"/>
    </row>
    <row r="728" customFormat="false" ht="15" hidden="false" customHeight="false" outlineLevel="0" collapsed="false">
      <c r="A728" s="26"/>
      <c r="B728" s="19" t="str">
        <f aca="false">IF(A728="","",A728+7-WEEKDAY(A728,1)+1)</f>
        <v/>
      </c>
      <c r="C728" s="28"/>
      <c r="D728" s="29"/>
      <c r="E728" s="28"/>
      <c r="F728" s="28"/>
      <c r="G728" s="30"/>
      <c r="H728" s="23" t="str">
        <f aca="false">IF(E728="","",IFERROR(INDEX(Lists!$C$2:$C$86,MATCH(E728,Lists!$A$2:$A$86,0)),"?"))</f>
        <v/>
      </c>
      <c r="I728" s="24" t="str">
        <f aca="false">IF(OR(C728="",E728=""),"",IF(H728="Yes",IFERROR(INDEX(Employees!$E$4:$E$43,MATCH(C728,Employees!$B$4:$B$43,0)),0),0))</f>
        <v/>
      </c>
      <c r="J728" s="25" t="str">
        <f aca="false">IF(G728="","",IF(H728="Yes",G728*I728,0))</f>
        <v/>
      </c>
      <c r="K728" s="25" t="str">
        <f aca="false">IF(OR(C728="",G728=""),"",G728*IFERROR(INDEX(Employees!$F$4:$F$43,MATCH(C728,Employees!$B$4:$B$43,0)),0))</f>
        <v/>
      </c>
      <c r="L728" s="28"/>
    </row>
    <row r="729" customFormat="false" ht="15" hidden="false" customHeight="false" outlineLevel="0" collapsed="false">
      <c r="A729" s="26"/>
      <c r="B729" s="27" t="str">
        <f aca="false">IF(A729="","",A729+7-WEEKDAY(A729,1)+1)</f>
        <v/>
      </c>
      <c r="C729" s="28"/>
      <c r="D729" s="29"/>
      <c r="E729" s="28"/>
      <c r="F729" s="28"/>
      <c r="G729" s="30"/>
      <c r="H729" s="31" t="str">
        <f aca="false">IF(E729="","",IFERROR(INDEX(Lists!$C$2:$C$86,MATCH(E729,Lists!$A$2:$A$86,0)),"?"))</f>
        <v/>
      </c>
      <c r="I729" s="32" t="str">
        <f aca="false">IF(OR(C729="",E729=""),"",IF(H729="Yes",IFERROR(INDEX(Employees!$E$4:$E$43,MATCH(C729,Employees!$B$4:$B$43,0)),0),0))</f>
        <v/>
      </c>
      <c r="J729" s="33" t="str">
        <f aca="false">IF(G729="","",IF(H729="Yes",G729*I729,0))</f>
        <v/>
      </c>
      <c r="K729" s="33" t="str">
        <f aca="false">IF(OR(C729="",G729=""),"",G729*IFERROR(INDEX(Employees!$F$4:$F$43,MATCH(C729,Employees!$B$4:$B$43,0)),0))</f>
        <v/>
      </c>
      <c r="L729" s="28"/>
    </row>
    <row r="730" customFormat="false" ht="15" hidden="false" customHeight="false" outlineLevel="0" collapsed="false">
      <c r="A730" s="26"/>
      <c r="B730" s="19" t="str">
        <f aca="false">IF(A730="","",A730+7-WEEKDAY(A730,1)+1)</f>
        <v/>
      </c>
      <c r="C730" s="28"/>
      <c r="D730" s="29"/>
      <c r="E730" s="28"/>
      <c r="F730" s="28"/>
      <c r="G730" s="30"/>
      <c r="H730" s="23" t="str">
        <f aca="false">IF(E730="","",IFERROR(INDEX(Lists!$C$2:$C$86,MATCH(E730,Lists!$A$2:$A$86,0)),"?"))</f>
        <v/>
      </c>
      <c r="I730" s="24" t="str">
        <f aca="false">IF(OR(C730="",E730=""),"",IF(H730="Yes",IFERROR(INDEX(Employees!$E$4:$E$43,MATCH(C730,Employees!$B$4:$B$43,0)),0),0))</f>
        <v/>
      </c>
      <c r="J730" s="25" t="str">
        <f aca="false">IF(G730="","",IF(H730="Yes",G730*I730,0))</f>
        <v/>
      </c>
      <c r="K730" s="25" t="str">
        <f aca="false">IF(OR(C730="",G730=""),"",G730*IFERROR(INDEX(Employees!$F$4:$F$43,MATCH(C730,Employees!$B$4:$B$43,0)),0))</f>
        <v/>
      </c>
      <c r="L730" s="28"/>
    </row>
    <row r="731" customFormat="false" ht="15" hidden="false" customHeight="false" outlineLevel="0" collapsed="false">
      <c r="A731" s="26"/>
      <c r="B731" s="27" t="str">
        <f aca="false">IF(A731="","",A731+7-WEEKDAY(A731,1)+1)</f>
        <v/>
      </c>
      <c r="C731" s="28"/>
      <c r="D731" s="29"/>
      <c r="E731" s="28"/>
      <c r="F731" s="28"/>
      <c r="G731" s="30"/>
      <c r="H731" s="31" t="str">
        <f aca="false">IF(E731="","",IFERROR(INDEX(Lists!$C$2:$C$86,MATCH(E731,Lists!$A$2:$A$86,0)),"?"))</f>
        <v/>
      </c>
      <c r="I731" s="32" t="str">
        <f aca="false">IF(OR(C731="",E731=""),"",IF(H731="Yes",IFERROR(INDEX(Employees!$E$4:$E$43,MATCH(C731,Employees!$B$4:$B$43,0)),0),0))</f>
        <v/>
      </c>
      <c r="J731" s="33" t="str">
        <f aca="false">IF(G731="","",IF(H731="Yes",G731*I731,0))</f>
        <v/>
      </c>
      <c r="K731" s="33" t="str">
        <f aca="false">IF(OR(C731="",G731=""),"",G731*IFERROR(INDEX(Employees!$F$4:$F$43,MATCH(C731,Employees!$B$4:$B$43,0)),0))</f>
        <v/>
      </c>
      <c r="L731" s="28"/>
    </row>
    <row r="732" customFormat="false" ht="15" hidden="false" customHeight="false" outlineLevel="0" collapsed="false">
      <c r="A732" s="26"/>
      <c r="B732" s="19" t="str">
        <f aca="false">IF(A732="","",A732+7-WEEKDAY(A732,1)+1)</f>
        <v/>
      </c>
      <c r="C732" s="28"/>
      <c r="D732" s="29"/>
      <c r="E732" s="28"/>
      <c r="F732" s="28"/>
      <c r="G732" s="30"/>
      <c r="H732" s="23" t="str">
        <f aca="false">IF(E732="","",IFERROR(INDEX(Lists!$C$2:$C$86,MATCH(E732,Lists!$A$2:$A$86,0)),"?"))</f>
        <v/>
      </c>
      <c r="I732" s="24" t="str">
        <f aca="false">IF(OR(C732="",E732=""),"",IF(H732="Yes",IFERROR(INDEX(Employees!$E$4:$E$43,MATCH(C732,Employees!$B$4:$B$43,0)),0),0))</f>
        <v/>
      </c>
      <c r="J732" s="25" t="str">
        <f aca="false">IF(G732="","",IF(H732="Yes",G732*I732,0))</f>
        <v/>
      </c>
      <c r="K732" s="25" t="str">
        <f aca="false">IF(OR(C732="",G732=""),"",G732*IFERROR(INDEX(Employees!$F$4:$F$43,MATCH(C732,Employees!$B$4:$B$43,0)),0))</f>
        <v/>
      </c>
      <c r="L732" s="28"/>
    </row>
    <row r="733" customFormat="false" ht="15" hidden="false" customHeight="false" outlineLevel="0" collapsed="false">
      <c r="A733" s="26"/>
      <c r="B733" s="27" t="str">
        <f aca="false">IF(A733="","",A733+7-WEEKDAY(A733,1)+1)</f>
        <v/>
      </c>
      <c r="C733" s="28"/>
      <c r="D733" s="29"/>
      <c r="E733" s="28"/>
      <c r="F733" s="28"/>
      <c r="G733" s="30"/>
      <c r="H733" s="31" t="str">
        <f aca="false">IF(E733="","",IFERROR(INDEX(Lists!$C$2:$C$86,MATCH(E733,Lists!$A$2:$A$86,0)),"?"))</f>
        <v/>
      </c>
      <c r="I733" s="32" t="str">
        <f aca="false">IF(OR(C733="",E733=""),"",IF(H733="Yes",IFERROR(INDEX(Employees!$E$4:$E$43,MATCH(C733,Employees!$B$4:$B$43,0)),0),0))</f>
        <v/>
      </c>
      <c r="J733" s="33" t="str">
        <f aca="false">IF(G733="","",IF(H733="Yes",G733*I733,0))</f>
        <v/>
      </c>
      <c r="K733" s="33" t="str">
        <f aca="false">IF(OR(C733="",G733=""),"",G733*IFERROR(INDEX(Employees!$F$4:$F$43,MATCH(C733,Employees!$B$4:$B$43,0)),0))</f>
        <v/>
      </c>
      <c r="L733" s="28"/>
    </row>
    <row r="734" customFormat="false" ht="15" hidden="false" customHeight="false" outlineLevel="0" collapsed="false">
      <c r="A734" s="26"/>
      <c r="B734" s="19" t="str">
        <f aca="false">IF(A734="","",A734+7-WEEKDAY(A734,1)+1)</f>
        <v/>
      </c>
      <c r="C734" s="28"/>
      <c r="D734" s="29"/>
      <c r="E734" s="28"/>
      <c r="F734" s="28"/>
      <c r="G734" s="30"/>
      <c r="H734" s="23" t="str">
        <f aca="false">IF(E734="","",IFERROR(INDEX(Lists!$C$2:$C$86,MATCH(E734,Lists!$A$2:$A$86,0)),"?"))</f>
        <v/>
      </c>
      <c r="I734" s="24" t="str">
        <f aca="false">IF(OR(C734="",E734=""),"",IF(H734="Yes",IFERROR(INDEX(Employees!$E$4:$E$43,MATCH(C734,Employees!$B$4:$B$43,0)),0),0))</f>
        <v/>
      </c>
      <c r="J734" s="25" t="str">
        <f aca="false">IF(G734="","",IF(H734="Yes",G734*I734,0))</f>
        <v/>
      </c>
      <c r="K734" s="25" t="str">
        <f aca="false">IF(OR(C734="",G734=""),"",G734*IFERROR(INDEX(Employees!$F$4:$F$43,MATCH(C734,Employees!$B$4:$B$43,0)),0))</f>
        <v/>
      </c>
      <c r="L734" s="28"/>
    </row>
    <row r="735" customFormat="false" ht="15" hidden="false" customHeight="false" outlineLevel="0" collapsed="false">
      <c r="A735" s="26"/>
      <c r="B735" s="27" t="str">
        <f aca="false">IF(A735="","",A735+7-WEEKDAY(A735,1)+1)</f>
        <v/>
      </c>
      <c r="C735" s="28"/>
      <c r="D735" s="29"/>
      <c r="E735" s="28"/>
      <c r="F735" s="28"/>
      <c r="G735" s="30"/>
      <c r="H735" s="31" t="str">
        <f aca="false">IF(E735="","",IFERROR(INDEX(Lists!$C$2:$C$86,MATCH(E735,Lists!$A$2:$A$86,0)),"?"))</f>
        <v/>
      </c>
      <c r="I735" s="32" t="str">
        <f aca="false">IF(OR(C735="",E735=""),"",IF(H735="Yes",IFERROR(INDEX(Employees!$E$4:$E$43,MATCH(C735,Employees!$B$4:$B$43,0)),0),0))</f>
        <v/>
      </c>
      <c r="J735" s="33" t="str">
        <f aca="false">IF(G735="","",IF(H735="Yes",G735*I735,0))</f>
        <v/>
      </c>
      <c r="K735" s="33" t="str">
        <f aca="false">IF(OR(C735="",G735=""),"",G735*IFERROR(INDEX(Employees!$F$4:$F$43,MATCH(C735,Employees!$B$4:$B$43,0)),0))</f>
        <v/>
      </c>
      <c r="L735" s="28"/>
    </row>
    <row r="736" customFormat="false" ht="15" hidden="false" customHeight="false" outlineLevel="0" collapsed="false">
      <c r="A736" s="26"/>
      <c r="B736" s="19" t="str">
        <f aca="false">IF(A736="","",A736+7-WEEKDAY(A736,1)+1)</f>
        <v/>
      </c>
      <c r="C736" s="28"/>
      <c r="D736" s="29"/>
      <c r="E736" s="28"/>
      <c r="F736" s="28"/>
      <c r="G736" s="30"/>
      <c r="H736" s="23" t="str">
        <f aca="false">IF(E736="","",IFERROR(INDEX(Lists!$C$2:$C$86,MATCH(E736,Lists!$A$2:$A$86,0)),"?"))</f>
        <v/>
      </c>
      <c r="I736" s="24" t="str">
        <f aca="false">IF(OR(C736="",E736=""),"",IF(H736="Yes",IFERROR(INDEX(Employees!$E$4:$E$43,MATCH(C736,Employees!$B$4:$B$43,0)),0),0))</f>
        <v/>
      </c>
      <c r="J736" s="25" t="str">
        <f aca="false">IF(G736="","",IF(H736="Yes",G736*I736,0))</f>
        <v/>
      </c>
      <c r="K736" s="25" t="str">
        <f aca="false">IF(OR(C736="",G736=""),"",G736*IFERROR(INDEX(Employees!$F$4:$F$43,MATCH(C736,Employees!$B$4:$B$43,0)),0))</f>
        <v/>
      </c>
      <c r="L736" s="28"/>
    </row>
    <row r="737" customFormat="false" ht="15" hidden="false" customHeight="false" outlineLevel="0" collapsed="false">
      <c r="A737" s="26"/>
      <c r="B737" s="27" t="str">
        <f aca="false">IF(A737="","",A737+7-WEEKDAY(A737,1)+1)</f>
        <v/>
      </c>
      <c r="C737" s="28"/>
      <c r="D737" s="29"/>
      <c r="E737" s="28"/>
      <c r="F737" s="28"/>
      <c r="G737" s="30"/>
      <c r="H737" s="31" t="str">
        <f aca="false">IF(E737="","",IFERROR(INDEX(Lists!$C$2:$C$86,MATCH(E737,Lists!$A$2:$A$86,0)),"?"))</f>
        <v/>
      </c>
      <c r="I737" s="32" t="str">
        <f aca="false">IF(OR(C737="",E737=""),"",IF(H737="Yes",IFERROR(INDEX(Employees!$E$4:$E$43,MATCH(C737,Employees!$B$4:$B$43,0)),0),0))</f>
        <v/>
      </c>
      <c r="J737" s="33" t="str">
        <f aca="false">IF(G737="","",IF(H737="Yes",G737*I737,0))</f>
        <v/>
      </c>
      <c r="K737" s="33" t="str">
        <f aca="false">IF(OR(C737="",G737=""),"",G737*IFERROR(INDEX(Employees!$F$4:$F$43,MATCH(C737,Employees!$B$4:$B$43,0)),0))</f>
        <v/>
      </c>
      <c r="L737" s="28"/>
    </row>
    <row r="738" customFormat="false" ht="15" hidden="false" customHeight="false" outlineLevel="0" collapsed="false">
      <c r="A738" s="26"/>
      <c r="B738" s="19" t="str">
        <f aca="false">IF(A738="","",A738+7-WEEKDAY(A738,1)+1)</f>
        <v/>
      </c>
      <c r="C738" s="28"/>
      <c r="D738" s="29"/>
      <c r="E738" s="28"/>
      <c r="F738" s="28"/>
      <c r="G738" s="30"/>
      <c r="H738" s="23" t="str">
        <f aca="false">IF(E738="","",IFERROR(INDEX(Lists!$C$2:$C$86,MATCH(E738,Lists!$A$2:$A$86,0)),"?"))</f>
        <v/>
      </c>
      <c r="I738" s="24" t="str">
        <f aca="false">IF(OR(C738="",E738=""),"",IF(H738="Yes",IFERROR(INDEX(Employees!$E$4:$E$43,MATCH(C738,Employees!$B$4:$B$43,0)),0),0))</f>
        <v/>
      </c>
      <c r="J738" s="25" t="str">
        <f aca="false">IF(G738="","",IF(H738="Yes",G738*I738,0))</f>
        <v/>
      </c>
      <c r="K738" s="25" t="str">
        <f aca="false">IF(OR(C738="",G738=""),"",G738*IFERROR(INDEX(Employees!$F$4:$F$43,MATCH(C738,Employees!$B$4:$B$43,0)),0))</f>
        <v/>
      </c>
      <c r="L738" s="28"/>
    </row>
    <row r="739" customFormat="false" ht="15" hidden="false" customHeight="false" outlineLevel="0" collapsed="false">
      <c r="A739" s="26"/>
      <c r="B739" s="27" t="str">
        <f aca="false">IF(A739="","",A739+7-WEEKDAY(A739,1)+1)</f>
        <v/>
      </c>
      <c r="C739" s="28"/>
      <c r="D739" s="29"/>
      <c r="E739" s="28"/>
      <c r="F739" s="28"/>
      <c r="G739" s="30"/>
      <c r="H739" s="31" t="str">
        <f aca="false">IF(E739="","",IFERROR(INDEX(Lists!$C$2:$C$86,MATCH(E739,Lists!$A$2:$A$86,0)),"?"))</f>
        <v/>
      </c>
      <c r="I739" s="32" t="str">
        <f aca="false">IF(OR(C739="",E739=""),"",IF(H739="Yes",IFERROR(INDEX(Employees!$E$4:$E$43,MATCH(C739,Employees!$B$4:$B$43,0)),0),0))</f>
        <v/>
      </c>
      <c r="J739" s="33" t="str">
        <f aca="false">IF(G739="","",IF(H739="Yes",G739*I739,0))</f>
        <v/>
      </c>
      <c r="K739" s="33" t="str">
        <f aca="false">IF(OR(C739="",G739=""),"",G739*IFERROR(INDEX(Employees!$F$4:$F$43,MATCH(C739,Employees!$B$4:$B$43,0)),0))</f>
        <v/>
      </c>
      <c r="L739" s="28"/>
    </row>
    <row r="740" customFormat="false" ht="15" hidden="false" customHeight="false" outlineLevel="0" collapsed="false">
      <c r="A740" s="26"/>
      <c r="B740" s="19" t="str">
        <f aca="false">IF(A740="","",A740+7-WEEKDAY(A740,1)+1)</f>
        <v/>
      </c>
      <c r="C740" s="28"/>
      <c r="D740" s="29"/>
      <c r="E740" s="28"/>
      <c r="F740" s="28"/>
      <c r="G740" s="30"/>
      <c r="H740" s="23" t="str">
        <f aca="false">IF(E740="","",IFERROR(INDEX(Lists!$C$2:$C$86,MATCH(E740,Lists!$A$2:$A$86,0)),"?"))</f>
        <v/>
      </c>
      <c r="I740" s="24" t="str">
        <f aca="false">IF(OR(C740="",E740=""),"",IF(H740="Yes",IFERROR(INDEX(Employees!$E$4:$E$43,MATCH(C740,Employees!$B$4:$B$43,0)),0),0))</f>
        <v/>
      </c>
      <c r="J740" s="25" t="str">
        <f aca="false">IF(G740="","",IF(H740="Yes",G740*I740,0))</f>
        <v/>
      </c>
      <c r="K740" s="25" t="str">
        <f aca="false">IF(OR(C740="",G740=""),"",G740*IFERROR(INDEX(Employees!$F$4:$F$43,MATCH(C740,Employees!$B$4:$B$43,0)),0))</f>
        <v/>
      </c>
      <c r="L740" s="28"/>
    </row>
    <row r="741" customFormat="false" ht="15" hidden="false" customHeight="false" outlineLevel="0" collapsed="false">
      <c r="A741" s="26"/>
      <c r="B741" s="27" t="str">
        <f aca="false">IF(A741="","",A741+7-WEEKDAY(A741,1)+1)</f>
        <v/>
      </c>
      <c r="C741" s="28"/>
      <c r="D741" s="29"/>
      <c r="E741" s="28"/>
      <c r="F741" s="28"/>
      <c r="G741" s="30"/>
      <c r="H741" s="31" t="str">
        <f aca="false">IF(E741="","",IFERROR(INDEX(Lists!$C$2:$C$86,MATCH(E741,Lists!$A$2:$A$86,0)),"?"))</f>
        <v/>
      </c>
      <c r="I741" s="32" t="str">
        <f aca="false">IF(OR(C741="",E741=""),"",IF(H741="Yes",IFERROR(INDEX(Employees!$E$4:$E$43,MATCH(C741,Employees!$B$4:$B$43,0)),0),0))</f>
        <v/>
      </c>
      <c r="J741" s="33" t="str">
        <f aca="false">IF(G741="","",IF(H741="Yes",G741*I741,0))</f>
        <v/>
      </c>
      <c r="K741" s="33" t="str">
        <f aca="false">IF(OR(C741="",G741=""),"",G741*IFERROR(INDEX(Employees!$F$4:$F$43,MATCH(C741,Employees!$B$4:$B$43,0)),0))</f>
        <v/>
      </c>
      <c r="L741" s="28"/>
    </row>
    <row r="742" customFormat="false" ht="15" hidden="false" customHeight="false" outlineLevel="0" collapsed="false">
      <c r="A742" s="26"/>
      <c r="B742" s="19" t="str">
        <f aca="false">IF(A742="","",A742+7-WEEKDAY(A742,1)+1)</f>
        <v/>
      </c>
      <c r="C742" s="28"/>
      <c r="D742" s="29"/>
      <c r="E742" s="28"/>
      <c r="F742" s="28"/>
      <c r="G742" s="30"/>
      <c r="H742" s="23" t="str">
        <f aca="false">IF(E742="","",IFERROR(INDEX(Lists!$C$2:$C$86,MATCH(E742,Lists!$A$2:$A$86,0)),"?"))</f>
        <v/>
      </c>
      <c r="I742" s="24" t="str">
        <f aca="false">IF(OR(C742="",E742=""),"",IF(H742="Yes",IFERROR(INDEX(Employees!$E$4:$E$43,MATCH(C742,Employees!$B$4:$B$43,0)),0),0))</f>
        <v/>
      </c>
      <c r="J742" s="25" t="str">
        <f aca="false">IF(G742="","",IF(H742="Yes",G742*I742,0))</f>
        <v/>
      </c>
      <c r="K742" s="25" t="str">
        <f aca="false">IF(OR(C742="",G742=""),"",G742*IFERROR(INDEX(Employees!$F$4:$F$43,MATCH(C742,Employees!$B$4:$B$43,0)),0))</f>
        <v/>
      </c>
      <c r="L742" s="28"/>
    </row>
    <row r="743" customFormat="false" ht="15" hidden="false" customHeight="false" outlineLevel="0" collapsed="false">
      <c r="A743" s="26"/>
      <c r="B743" s="27" t="str">
        <f aca="false">IF(A743="","",A743+7-WEEKDAY(A743,1)+1)</f>
        <v/>
      </c>
      <c r="C743" s="28"/>
      <c r="D743" s="29"/>
      <c r="E743" s="28"/>
      <c r="F743" s="28"/>
      <c r="G743" s="30"/>
      <c r="H743" s="31" t="str">
        <f aca="false">IF(E743="","",IFERROR(INDEX(Lists!$C$2:$C$86,MATCH(E743,Lists!$A$2:$A$86,0)),"?"))</f>
        <v/>
      </c>
      <c r="I743" s="32" t="str">
        <f aca="false">IF(OR(C743="",E743=""),"",IF(H743="Yes",IFERROR(INDEX(Employees!$E$4:$E$43,MATCH(C743,Employees!$B$4:$B$43,0)),0),0))</f>
        <v/>
      </c>
      <c r="J743" s="33" t="str">
        <f aca="false">IF(G743="","",IF(H743="Yes",G743*I743,0))</f>
        <v/>
      </c>
      <c r="K743" s="33" t="str">
        <f aca="false">IF(OR(C743="",G743=""),"",G743*IFERROR(INDEX(Employees!$F$4:$F$43,MATCH(C743,Employees!$B$4:$B$43,0)),0))</f>
        <v/>
      </c>
      <c r="L743" s="28"/>
    </row>
    <row r="744" customFormat="false" ht="15" hidden="false" customHeight="false" outlineLevel="0" collapsed="false">
      <c r="A744" s="26"/>
      <c r="B744" s="19" t="str">
        <f aca="false">IF(A744="","",A744+7-WEEKDAY(A744,1)+1)</f>
        <v/>
      </c>
      <c r="C744" s="28"/>
      <c r="D744" s="29"/>
      <c r="E744" s="28"/>
      <c r="F744" s="28"/>
      <c r="G744" s="30"/>
      <c r="H744" s="23" t="str">
        <f aca="false">IF(E744="","",IFERROR(INDEX(Lists!$C$2:$C$86,MATCH(E744,Lists!$A$2:$A$86,0)),"?"))</f>
        <v/>
      </c>
      <c r="I744" s="24" t="str">
        <f aca="false">IF(OR(C744="",E744=""),"",IF(H744="Yes",IFERROR(INDEX(Employees!$E$4:$E$43,MATCH(C744,Employees!$B$4:$B$43,0)),0),0))</f>
        <v/>
      </c>
      <c r="J744" s="25" t="str">
        <f aca="false">IF(G744="","",IF(H744="Yes",G744*I744,0))</f>
        <v/>
      </c>
      <c r="K744" s="25" t="str">
        <f aca="false">IF(OR(C744="",G744=""),"",G744*IFERROR(INDEX(Employees!$F$4:$F$43,MATCH(C744,Employees!$B$4:$B$43,0)),0))</f>
        <v/>
      </c>
      <c r="L744" s="28"/>
    </row>
    <row r="745" customFormat="false" ht="15" hidden="false" customHeight="false" outlineLevel="0" collapsed="false">
      <c r="A745" s="26"/>
      <c r="B745" s="27" t="str">
        <f aca="false">IF(A745="","",A745+7-WEEKDAY(A745,1)+1)</f>
        <v/>
      </c>
      <c r="C745" s="28"/>
      <c r="D745" s="29"/>
      <c r="E745" s="28"/>
      <c r="F745" s="28"/>
      <c r="G745" s="30"/>
      <c r="H745" s="31" t="str">
        <f aca="false">IF(E745="","",IFERROR(INDEX(Lists!$C$2:$C$86,MATCH(E745,Lists!$A$2:$A$86,0)),"?"))</f>
        <v/>
      </c>
      <c r="I745" s="32" t="str">
        <f aca="false">IF(OR(C745="",E745=""),"",IF(H745="Yes",IFERROR(INDEX(Employees!$E$4:$E$43,MATCH(C745,Employees!$B$4:$B$43,0)),0),0))</f>
        <v/>
      </c>
      <c r="J745" s="33" t="str">
        <f aca="false">IF(G745="","",IF(H745="Yes",G745*I745,0))</f>
        <v/>
      </c>
      <c r="K745" s="33" t="str">
        <f aca="false">IF(OR(C745="",G745=""),"",G745*IFERROR(INDEX(Employees!$F$4:$F$43,MATCH(C745,Employees!$B$4:$B$43,0)),0))</f>
        <v/>
      </c>
      <c r="L745" s="28"/>
    </row>
    <row r="746" customFormat="false" ht="15" hidden="false" customHeight="false" outlineLevel="0" collapsed="false">
      <c r="A746" s="26"/>
      <c r="B746" s="19" t="str">
        <f aca="false">IF(A746="","",A746+7-WEEKDAY(A746,1)+1)</f>
        <v/>
      </c>
      <c r="C746" s="28"/>
      <c r="D746" s="29"/>
      <c r="E746" s="28"/>
      <c r="F746" s="28"/>
      <c r="G746" s="30"/>
      <c r="H746" s="23" t="str">
        <f aca="false">IF(E746="","",IFERROR(INDEX(Lists!$C$2:$C$86,MATCH(E746,Lists!$A$2:$A$86,0)),"?"))</f>
        <v/>
      </c>
      <c r="I746" s="24" t="str">
        <f aca="false">IF(OR(C746="",E746=""),"",IF(H746="Yes",IFERROR(INDEX(Employees!$E$4:$E$43,MATCH(C746,Employees!$B$4:$B$43,0)),0),0))</f>
        <v/>
      </c>
      <c r="J746" s="25" t="str">
        <f aca="false">IF(G746="","",IF(H746="Yes",G746*I746,0))</f>
        <v/>
      </c>
      <c r="K746" s="25" t="str">
        <f aca="false">IF(OR(C746="",G746=""),"",G746*IFERROR(INDEX(Employees!$F$4:$F$43,MATCH(C746,Employees!$B$4:$B$43,0)),0))</f>
        <v/>
      </c>
      <c r="L746" s="28"/>
    </row>
    <row r="747" customFormat="false" ht="15" hidden="false" customHeight="false" outlineLevel="0" collapsed="false">
      <c r="A747" s="26"/>
      <c r="B747" s="27" t="str">
        <f aca="false">IF(A747="","",A747+7-WEEKDAY(A747,1)+1)</f>
        <v/>
      </c>
      <c r="C747" s="28"/>
      <c r="D747" s="29"/>
      <c r="E747" s="28"/>
      <c r="F747" s="28"/>
      <c r="G747" s="30"/>
      <c r="H747" s="31" t="str">
        <f aca="false">IF(E747="","",IFERROR(INDEX(Lists!$C$2:$C$86,MATCH(E747,Lists!$A$2:$A$86,0)),"?"))</f>
        <v/>
      </c>
      <c r="I747" s="32" t="str">
        <f aca="false">IF(OR(C747="",E747=""),"",IF(H747="Yes",IFERROR(INDEX(Employees!$E$4:$E$43,MATCH(C747,Employees!$B$4:$B$43,0)),0),0))</f>
        <v/>
      </c>
      <c r="J747" s="33" t="str">
        <f aca="false">IF(G747="","",IF(H747="Yes",G747*I747,0))</f>
        <v/>
      </c>
      <c r="K747" s="33" t="str">
        <f aca="false">IF(OR(C747="",G747=""),"",G747*IFERROR(INDEX(Employees!$F$4:$F$43,MATCH(C747,Employees!$B$4:$B$43,0)),0))</f>
        <v/>
      </c>
      <c r="L747" s="28"/>
    </row>
    <row r="748" customFormat="false" ht="15" hidden="false" customHeight="false" outlineLevel="0" collapsed="false">
      <c r="A748" s="26"/>
      <c r="B748" s="19" t="str">
        <f aca="false">IF(A748="","",A748+7-WEEKDAY(A748,1)+1)</f>
        <v/>
      </c>
      <c r="C748" s="28"/>
      <c r="D748" s="29"/>
      <c r="E748" s="28"/>
      <c r="F748" s="28"/>
      <c r="G748" s="30"/>
      <c r="H748" s="23" t="str">
        <f aca="false">IF(E748="","",IFERROR(INDEX(Lists!$C$2:$C$86,MATCH(E748,Lists!$A$2:$A$86,0)),"?"))</f>
        <v/>
      </c>
      <c r="I748" s="24" t="str">
        <f aca="false">IF(OR(C748="",E748=""),"",IF(H748="Yes",IFERROR(INDEX(Employees!$E$4:$E$43,MATCH(C748,Employees!$B$4:$B$43,0)),0),0))</f>
        <v/>
      </c>
      <c r="J748" s="25" t="str">
        <f aca="false">IF(G748="","",IF(H748="Yes",G748*I748,0))</f>
        <v/>
      </c>
      <c r="K748" s="25" t="str">
        <f aca="false">IF(OR(C748="",G748=""),"",G748*IFERROR(INDEX(Employees!$F$4:$F$43,MATCH(C748,Employees!$B$4:$B$43,0)),0))</f>
        <v/>
      </c>
      <c r="L748" s="28"/>
    </row>
    <row r="749" customFormat="false" ht="15" hidden="false" customHeight="false" outlineLevel="0" collapsed="false">
      <c r="A749" s="26"/>
      <c r="B749" s="27" t="str">
        <f aca="false">IF(A749="","",A749+7-WEEKDAY(A749,1)+1)</f>
        <v/>
      </c>
      <c r="C749" s="28"/>
      <c r="D749" s="29"/>
      <c r="E749" s="28"/>
      <c r="F749" s="28"/>
      <c r="G749" s="30"/>
      <c r="H749" s="31" t="str">
        <f aca="false">IF(E749="","",IFERROR(INDEX(Lists!$C$2:$C$86,MATCH(E749,Lists!$A$2:$A$86,0)),"?"))</f>
        <v/>
      </c>
      <c r="I749" s="32" t="str">
        <f aca="false">IF(OR(C749="",E749=""),"",IF(H749="Yes",IFERROR(INDEX(Employees!$E$4:$E$43,MATCH(C749,Employees!$B$4:$B$43,0)),0),0))</f>
        <v/>
      </c>
      <c r="J749" s="33" t="str">
        <f aca="false">IF(G749="","",IF(H749="Yes",G749*I749,0))</f>
        <v/>
      </c>
      <c r="K749" s="33" t="str">
        <f aca="false">IF(OR(C749="",G749=""),"",G749*IFERROR(INDEX(Employees!$F$4:$F$43,MATCH(C749,Employees!$B$4:$B$43,0)),0))</f>
        <v/>
      </c>
      <c r="L749" s="28"/>
    </row>
    <row r="750" customFormat="false" ht="15" hidden="false" customHeight="false" outlineLevel="0" collapsed="false">
      <c r="A750" s="26"/>
      <c r="B750" s="19" t="str">
        <f aca="false">IF(A750="","",A750+7-WEEKDAY(A750,1)+1)</f>
        <v/>
      </c>
      <c r="C750" s="28"/>
      <c r="D750" s="29"/>
      <c r="E750" s="28"/>
      <c r="F750" s="28"/>
      <c r="G750" s="30"/>
      <c r="H750" s="23" t="str">
        <f aca="false">IF(E750="","",IFERROR(INDEX(Lists!$C$2:$C$86,MATCH(E750,Lists!$A$2:$A$86,0)),"?"))</f>
        <v/>
      </c>
      <c r="I750" s="24" t="str">
        <f aca="false">IF(OR(C750="",E750=""),"",IF(H750="Yes",IFERROR(INDEX(Employees!$E$4:$E$43,MATCH(C750,Employees!$B$4:$B$43,0)),0),0))</f>
        <v/>
      </c>
      <c r="J750" s="25" t="str">
        <f aca="false">IF(G750="","",IF(H750="Yes",G750*I750,0))</f>
        <v/>
      </c>
      <c r="K750" s="25" t="str">
        <f aca="false">IF(OR(C750="",G750=""),"",G750*IFERROR(INDEX(Employees!$F$4:$F$43,MATCH(C750,Employees!$B$4:$B$43,0)),0))</f>
        <v/>
      </c>
      <c r="L750" s="28"/>
    </row>
    <row r="751" customFormat="false" ht="15" hidden="false" customHeight="false" outlineLevel="0" collapsed="false">
      <c r="A751" s="26"/>
      <c r="B751" s="27" t="str">
        <f aca="false">IF(A751="","",A751+7-WEEKDAY(A751,1)+1)</f>
        <v/>
      </c>
      <c r="C751" s="28"/>
      <c r="D751" s="29"/>
      <c r="E751" s="28"/>
      <c r="F751" s="28"/>
      <c r="G751" s="30"/>
      <c r="H751" s="31" t="str">
        <f aca="false">IF(E751="","",IFERROR(INDEX(Lists!$C$2:$C$86,MATCH(E751,Lists!$A$2:$A$86,0)),"?"))</f>
        <v/>
      </c>
      <c r="I751" s="32" t="str">
        <f aca="false">IF(OR(C751="",E751=""),"",IF(H751="Yes",IFERROR(INDEX(Employees!$E$4:$E$43,MATCH(C751,Employees!$B$4:$B$43,0)),0),0))</f>
        <v/>
      </c>
      <c r="J751" s="33" t="str">
        <f aca="false">IF(G751="","",IF(H751="Yes",G751*I751,0))</f>
        <v/>
      </c>
      <c r="K751" s="33" t="str">
        <f aca="false">IF(OR(C751="",G751=""),"",G751*IFERROR(INDEX(Employees!$F$4:$F$43,MATCH(C751,Employees!$B$4:$B$43,0)),0))</f>
        <v/>
      </c>
      <c r="L751" s="28"/>
    </row>
    <row r="752" customFormat="false" ht="15" hidden="false" customHeight="false" outlineLevel="0" collapsed="false">
      <c r="A752" s="26"/>
      <c r="B752" s="19" t="str">
        <f aca="false">IF(A752="","",A752+7-WEEKDAY(A752,1)+1)</f>
        <v/>
      </c>
      <c r="C752" s="28"/>
      <c r="D752" s="29"/>
      <c r="E752" s="28"/>
      <c r="F752" s="28"/>
      <c r="G752" s="30"/>
      <c r="H752" s="23" t="str">
        <f aca="false">IF(E752="","",IFERROR(INDEX(Lists!$C$2:$C$86,MATCH(E752,Lists!$A$2:$A$86,0)),"?"))</f>
        <v/>
      </c>
      <c r="I752" s="24" t="str">
        <f aca="false">IF(OR(C752="",E752=""),"",IF(H752="Yes",IFERROR(INDEX(Employees!$E$4:$E$43,MATCH(C752,Employees!$B$4:$B$43,0)),0),0))</f>
        <v/>
      </c>
      <c r="J752" s="25" t="str">
        <f aca="false">IF(G752="","",IF(H752="Yes",G752*I752,0))</f>
        <v/>
      </c>
      <c r="K752" s="25" t="str">
        <f aca="false">IF(OR(C752="",G752=""),"",G752*IFERROR(INDEX(Employees!$F$4:$F$43,MATCH(C752,Employees!$B$4:$B$43,0)),0))</f>
        <v/>
      </c>
      <c r="L752" s="28"/>
    </row>
    <row r="753" customFormat="false" ht="15" hidden="false" customHeight="false" outlineLevel="0" collapsed="false">
      <c r="A753" s="26"/>
      <c r="B753" s="27" t="str">
        <f aca="false">IF(A753="","",A753+7-WEEKDAY(A753,1)+1)</f>
        <v/>
      </c>
      <c r="C753" s="28"/>
      <c r="D753" s="29"/>
      <c r="E753" s="28"/>
      <c r="F753" s="28"/>
      <c r="G753" s="30"/>
      <c r="H753" s="31" t="str">
        <f aca="false">IF(E753="","",IFERROR(INDEX(Lists!$C$2:$C$86,MATCH(E753,Lists!$A$2:$A$86,0)),"?"))</f>
        <v/>
      </c>
      <c r="I753" s="32" t="str">
        <f aca="false">IF(OR(C753="",E753=""),"",IF(H753="Yes",IFERROR(INDEX(Employees!$E$4:$E$43,MATCH(C753,Employees!$B$4:$B$43,0)),0),0))</f>
        <v/>
      </c>
      <c r="J753" s="33" t="str">
        <f aca="false">IF(G753="","",IF(H753="Yes",G753*I753,0))</f>
        <v/>
      </c>
      <c r="K753" s="33" t="str">
        <f aca="false">IF(OR(C753="",G753=""),"",G753*IFERROR(INDEX(Employees!$F$4:$F$43,MATCH(C753,Employees!$B$4:$B$43,0)),0))</f>
        <v/>
      </c>
      <c r="L753" s="28"/>
    </row>
    <row r="754" customFormat="false" ht="15" hidden="false" customHeight="false" outlineLevel="0" collapsed="false">
      <c r="A754" s="26"/>
      <c r="B754" s="19" t="str">
        <f aca="false">IF(A754="","",A754+7-WEEKDAY(A754,1)+1)</f>
        <v/>
      </c>
      <c r="C754" s="28"/>
      <c r="D754" s="29"/>
      <c r="E754" s="28"/>
      <c r="F754" s="28"/>
      <c r="G754" s="30"/>
      <c r="H754" s="23" t="str">
        <f aca="false">IF(E754="","",IFERROR(INDEX(Lists!$C$2:$C$86,MATCH(E754,Lists!$A$2:$A$86,0)),"?"))</f>
        <v/>
      </c>
      <c r="I754" s="24" t="str">
        <f aca="false">IF(OR(C754="",E754=""),"",IF(H754="Yes",IFERROR(INDEX(Employees!$E$4:$E$43,MATCH(C754,Employees!$B$4:$B$43,0)),0),0))</f>
        <v/>
      </c>
      <c r="J754" s="25" t="str">
        <f aca="false">IF(G754="","",IF(H754="Yes",G754*I754,0))</f>
        <v/>
      </c>
      <c r="K754" s="25" t="str">
        <f aca="false">IF(OR(C754="",G754=""),"",G754*IFERROR(INDEX(Employees!$F$4:$F$43,MATCH(C754,Employees!$B$4:$B$43,0)),0))</f>
        <v/>
      </c>
      <c r="L754" s="28"/>
    </row>
    <row r="755" customFormat="false" ht="15" hidden="false" customHeight="false" outlineLevel="0" collapsed="false">
      <c r="A755" s="26"/>
      <c r="B755" s="27" t="str">
        <f aca="false">IF(A755="","",A755+7-WEEKDAY(A755,1)+1)</f>
        <v/>
      </c>
      <c r="C755" s="28"/>
      <c r="D755" s="29"/>
      <c r="E755" s="28"/>
      <c r="F755" s="28"/>
      <c r="G755" s="30"/>
      <c r="H755" s="31" t="str">
        <f aca="false">IF(E755="","",IFERROR(INDEX(Lists!$C$2:$C$86,MATCH(E755,Lists!$A$2:$A$86,0)),"?"))</f>
        <v/>
      </c>
      <c r="I755" s="32" t="str">
        <f aca="false">IF(OR(C755="",E755=""),"",IF(H755="Yes",IFERROR(INDEX(Employees!$E$4:$E$43,MATCH(C755,Employees!$B$4:$B$43,0)),0),0))</f>
        <v/>
      </c>
      <c r="J755" s="33" t="str">
        <f aca="false">IF(G755="","",IF(H755="Yes",G755*I755,0))</f>
        <v/>
      </c>
      <c r="K755" s="33" t="str">
        <f aca="false">IF(OR(C755="",G755=""),"",G755*IFERROR(INDEX(Employees!$F$4:$F$43,MATCH(C755,Employees!$B$4:$B$43,0)),0))</f>
        <v/>
      </c>
      <c r="L755" s="28"/>
    </row>
    <row r="756" customFormat="false" ht="15" hidden="false" customHeight="false" outlineLevel="0" collapsed="false">
      <c r="A756" s="26"/>
      <c r="B756" s="19" t="str">
        <f aca="false">IF(A756="","",A756+7-WEEKDAY(A756,1)+1)</f>
        <v/>
      </c>
      <c r="C756" s="28"/>
      <c r="D756" s="29"/>
      <c r="E756" s="28"/>
      <c r="F756" s="28"/>
      <c r="G756" s="30"/>
      <c r="H756" s="23" t="str">
        <f aca="false">IF(E756="","",IFERROR(INDEX(Lists!$C$2:$C$86,MATCH(E756,Lists!$A$2:$A$86,0)),"?"))</f>
        <v/>
      </c>
      <c r="I756" s="24" t="str">
        <f aca="false">IF(OR(C756="",E756=""),"",IF(H756="Yes",IFERROR(INDEX(Employees!$E$4:$E$43,MATCH(C756,Employees!$B$4:$B$43,0)),0),0))</f>
        <v/>
      </c>
      <c r="J756" s="25" t="str">
        <f aca="false">IF(G756="","",IF(H756="Yes",G756*I756,0))</f>
        <v/>
      </c>
      <c r="K756" s="25" t="str">
        <f aca="false">IF(OR(C756="",G756=""),"",G756*IFERROR(INDEX(Employees!$F$4:$F$43,MATCH(C756,Employees!$B$4:$B$43,0)),0))</f>
        <v/>
      </c>
      <c r="L756" s="28"/>
    </row>
    <row r="757" customFormat="false" ht="15" hidden="false" customHeight="false" outlineLevel="0" collapsed="false">
      <c r="A757" s="26"/>
      <c r="B757" s="27" t="str">
        <f aca="false">IF(A757="","",A757+7-WEEKDAY(A757,1)+1)</f>
        <v/>
      </c>
      <c r="C757" s="28"/>
      <c r="D757" s="29"/>
      <c r="E757" s="28"/>
      <c r="F757" s="28"/>
      <c r="G757" s="30"/>
      <c r="H757" s="31" t="str">
        <f aca="false">IF(E757="","",IFERROR(INDEX(Lists!$C$2:$C$86,MATCH(E757,Lists!$A$2:$A$86,0)),"?"))</f>
        <v/>
      </c>
      <c r="I757" s="32" t="str">
        <f aca="false">IF(OR(C757="",E757=""),"",IF(H757="Yes",IFERROR(INDEX(Employees!$E$4:$E$43,MATCH(C757,Employees!$B$4:$B$43,0)),0),0))</f>
        <v/>
      </c>
      <c r="J757" s="33" t="str">
        <f aca="false">IF(G757="","",IF(H757="Yes",G757*I757,0))</f>
        <v/>
      </c>
      <c r="K757" s="33" t="str">
        <f aca="false">IF(OR(C757="",G757=""),"",G757*IFERROR(INDEX(Employees!$F$4:$F$43,MATCH(C757,Employees!$B$4:$B$43,0)),0))</f>
        <v/>
      </c>
      <c r="L757" s="28"/>
    </row>
    <row r="758" customFormat="false" ht="15" hidden="false" customHeight="false" outlineLevel="0" collapsed="false">
      <c r="A758" s="26"/>
      <c r="B758" s="19" t="str">
        <f aca="false">IF(A758="","",A758+7-WEEKDAY(A758,1)+1)</f>
        <v/>
      </c>
      <c r="C758" s="28"/>
      <c r="D758" s="29"/>
      <c r="E758" s="28"/>
      <c r="F758" s="28"/>
      <c r="G758" s="30"/>
      <c r="H758" s="23" t="str">
        <f aca="false">IF(E758="","",IFERROR(INDEX(Lists!$C$2:$C$86,MATCH(E758,Lists!$A$2:$A$86,0)),"?"))</f>
        <v/>
      </c>
      <c r="I758" s="24" t="str">
        <f aca="false">IF(OR(C758="",E758=""),"",IF(H758="Yes",IFERROR(INDEX(Employees!$E$4:$E$43,MATCH(C758,Employees!$B$4:$B$43,0)),0),0))</f>
        <v/>
      </c>
      <c r="J758" s="25" t="str">
        <f aca="false">IF(G758="","",IF(H758="Yes",G758*I758,0))</f>
        <v/>
      </c>
      <c r="K758" s="25" t="str">
        <f aca="false">IF(OR(C758="",G758=""),"",G758*IFERROR(INDEX(Employees!$F$4:$F$43,MATCH(C758,Employees!$B$4:$B$43,0)),0))</f>
        <v/>
      </c>
      <c r="L758" s="28"/>
    </row>
    <row r="759" customFormat="false" ht="15" hidden="false" customHeight="false" outlineLevel="0" collapsed="false">
      <c r="A759" s="26"/>
      <c r="B759" s="27" t="str">
        <f aca="false">IF(A759="","",A759+7-WEEKDAY(A759,1)+1)</f>
        <v/>
      </c>
      <c r="C759" s="28"/>
      <c r="D759" s="29"/>
      <c r="E759" s="28"/>
      <c r="F759" s="28"/>
      <c r="G759" s="30"/>
      <c r="H759" s="31" t="str">
        <f aca="false">IF(E759="","",IFERROR(INDEX(Lists!$C$2:$C$86,MATCH(E759,Lists!$A$2:$A$86,0)),"?"))</f>
        <v/>
      </c>
      <c r="I759" s="32" t="str">
        <f aca="false">IF(OR(C759="",E759=""),"",IF(H759="Yes",IFERROR(INDEX(Employees!$E$4:$E$43,MATCH(C759,Employees!$B$4:$B$43,0)),0),0))</f>
        <v/>
      </c>
      <c r="J759" s="33" t="str">
        <f aca="false">IF(G759="","",IF(H759="Yes",G759*I759,0))</f>
        <v/>
      </c>
      <c r="K759" s="33" t="str">
        <f aca="false">IF(OR(C759="",G759=""),"",G759*IFERROR(INDEX(Employees!$F$4:$F$43,MATCH(C759,Employees!$B$4:$B$43,0)),0))</f>
        <v/>
      </c>
      <c r="L759" s="28"/>
    </row>
    <row r="760" customFormat="false" ht="15" hidden="false" customHeight="false" outlineLevel="0" collapsed="false">
      <c r="A760" s="26"/>
      <c r="B760" s="19" t="str">
        <f aca="false">IF(A760="","",A760+7-WEEKDAY(A760,1)+1)</f>
        <v/>
      </c>
      <c r="C760" s="28"/>
      <c r="D760" s="29"/>
      <c r="E760" s="28"/>
      <c r="F760" s="28"/>
      <c r="G760" s="30"/>
      <c r="H760" s="23" t="str">
        <f aca="false">IF(E760="","",IFERROR(INDEX(Lists!$C$2:$C$86,MATCH(E760,Lists!$A$2:$A$86,0)),"?"))</f>
        <v/>
      </c>
      <c r="I760" s="24" t="str">
        <f aca="false">IF(OR(C760="",E760=""),"",IF(H760="Yes",IFERROR(INDEX(Employees!$E$4:$E$43,MATCH(C760,Employees!$B$4:$B$43,0)),0),0))</f>
        <v/>
      </c>
      <c r="J760" s="25" t="str">
        <f aca="false">IF(G760="","",IF(H760="Yes",G760*I760,0))</f>
        <v/>
      </c>
      <c r="K760" s="25" t="str">
        <f aca="false">IF(OR(C760="",G760=""),"",G760*IFERROR(INDEX(Employees!$F$4:$F$43,MATCH(C760,Employees!$B$4:$B$43,0)),0))</f>
        <v/>
      </c>
      <c r="L760" s="28"/>
    </row>
    <row r="761" customFormat="false" ht="15" hidden="false" customHeight="false" outlineLevel="0" collapsed="false">
      <c r="A761" s="26"/>
      <c r="B761" s="27" t="str">
        <f aca="false">IF(A761="","",A761+7-WEEKDAY(A761,1)+1)</f>
        <v/>
      </c>
      <c r="C761" s="28"/>
      <c r="D761" s="29"/>
      <c r="E761" s="28"/>
      <c r="F761" s="28"/>
      <c r="G761" s="30"/>
      <c r="H761" s="31" t="str">
        <f aca="false">IF(E761="","",IFERROR(INDEX(Lists!$C$2:$C$86,MATCH(E761,Lists!$A$2:$A$86,0)),"?"))</f>
        <v/>
      </c>
      <c r="I761" s="32" t="str">
        <f aca="false">IF(OR(C761="",E761=""),"",IF(H761="Yes",IFERROR(INDEX(Employees!$E$4:$E$43,MATCH(C761,Employees!$B$4:$B$43,0)),0),0))</f>
        <v/>
      </c>
      <c r="J761" s="33" t="str">
        <f aca="false">IF(G761="","",IF(H761="Yes",G761*I761,0))</f>
        <v/>
      </c>
      <c r="K761" s="33" t="str">
        <f aca="false">IF(OR(C761="",G761=""),"",G761*IFERROR(INDEX(Employees!$F$4:$F$43,MATCH(C761,Employees!$B$4:$B$43,0)),0))</f>
        <v/>
      </c>
      <c r="L761" s="28"/>
    </row>
    <row r="762" customFormat="false" ht="15" hidden="false" customHeight="false" outlineLevel="0" collapsed="false">
      <c r="A762" s="26"/>
      <c r="B762" s="19" t="str">
        <f aca="false">IF(A762="","",A762+7-WEEKDAY(A762,1)+1)</f>
        <v/>
      </c>
      <c r="C762" s="28"/>
      <c r="D762" s="29"/>
      <c r="E762" s="28"/>
      <c r="F762" s="28"/>
      <c r="G762" s="30"/>
      <c r="H762" s="23" t="str">
        <f aca="false">IF(E762="","",IFERROR(INDEX(Lists!$C$2:$C$86,MATCH(E762,Lists!$A$2:$A$86,0)),"?"))</f>
        <v/>
      </c>
      <c r="I762" s="24" t="str">
        <f aca="false">IF(OR(C762="",E762=""),"",IF(H762="Yes",IFERROR(INDEX(Employees!$E$4:$E$43,MATCH(C762,Employees!$B$4:$B$43,0)),0),0))</f>
        <v/>
      </c>
      <c r="J762" s="25" t="str">
        <f aca="false">IF(G762="","",IF(H762="Yes",G762*I762,0))</f>
        <v/>
      </c>
      <c r="K762" s="25" t="str">
        <f aca="false">IF(OR(C762="",G762=""),"",G762*IFERROR(INDEX(Employees!$F$4:$F$43,MATCH(C762,Employees!$B$4:$B$43,0)),0))</f>
        <v/>
      </c>
      <c r="L762" s="28"/>
    </row>
    <row r="763" customFormat="false" ht="15" hidden="false" customHeight="false" outlineLevel="0" collapsed="false">
      <c r="A763" s="26"/>
      <c r="B763" s="27" t="str">
        <f aca="false">IF(A763="","",A763+7-WEEKDAY(A763,1)+1)</f>
        <v/>
      </c>
      <c r="C763" s="28"/>
      <c r="D763" s="29"/>
      <c r="E763" s="28"/>
      <c r="F763" s="28"/>
      <c r="G763" s="30"/>
      <c r="H763" s="31" t="str">
        <f aca="false">IF(E763="","",IFERROR(INDEX(Lists!$C$2:$C$86,MATCH(E763,Lists!$A$2:$A$86,0)),"?"))</f>
        <v/>
      </c>
      <c r="I763" s="32" t="str">
        <f aca="false">IF(OR(C763="",E763=""),"",IF(H763="Yes",IFERROR(INDEX(Employees!$E$4:$E$43,MATCH(C763,Employees!$B$4:$B$43,0)),0),0))</f>
        <v/>
      </c>
      <c r="J763" s="33" t="str">
        <f aca="false">IF(G763="","",IF(H763="Yes",G763*I763,0))</f>
        <v/>
      </c>
      <c r="K763" s="33" t="str">
        <f aca="false">IF(OR(C763="",G763=""),"",G763*IFERROR(INDEX(Employees!$F$4:$F$43,MATCH(C763,Employees!$B$4:$B$43,0)),0))</f>
        <v/>
      </c>
      <c r="L763" s="28"/>
    </row>
    <row r="764" customFormat="false" ht="15" hidden="false" customHeight="false" outlineLevel="0" collapsed="false">
      <c r="A764" s="26"/>
      <c r="B764" s="19" t="str">
        <f aca="false">IF(A764="","",A764+7-WEEKDAY(A764,1)+1)</f>
        <v/>
      </c>
      <c r="C764" s="28"/>
      <c r="D764" s="29"/>
      <c r="E764" s="28"/>
      <c r="F764" s="28"/>
      <c r="G764" s="30"/>
      <c r="H764" s="23" t="str">
        <f aca="false">IF(E764="","",IFERROR(INDEX(Lists!$C$2:$C$86,MATCH(E764,Lists!$A$2:$A$86,0)),"?"))</f>
        <v/>
      </c>
      <c r="I764" s="24" t="str">
        <f aca="false">IF(OR(C764="",E764=""),"",IF(H764="Yes",IFERROR(INDEX(Employees!$E$4:$E$43,MATCH(C764,Employees!$B$4:$B$43,0)),0),0))</f>
        <v/>
      </c>
      <c r="J764" s="25" t="str">
        <f aca="false">IF(G764="","",IF(H764="Yes",G764*I764,0))</f>
        <v/>
      </c>
      <c r="K764" s="25" t="str">
        <f aca="false">IF(OR(C764="",G764=""),"",G764*IFERROR(INDEX(Employees!$F$4:$F$43,MATCH(C764,Employees!$B$4:$B$43,0)),0))</f>
        <v/>
      </c>
      <c r="L764" s="28"/>
    </row>
    <row r="765" customFormat="false" ht="15" hidden="false" customHeight="false" outlineLevel="0" collapsed="false">
      <c r="A765" s="26"/>
      <c r="B765" s="27" t="str">
        <f aca="false">IF(A765="","",A765+7-WEEKDAY(A765,1)+1)</f>
        <v/>
      </c>
      <c r="C765" s="28"/>
      <c r="D765" s="29"/>
      <c r="E765" s="28"/>
      <c r="F765" s="28"/>
      <c r="G765" s="30"/>
      <c r="H765" s="31" t="str">
        <f aca="false">IF(E765="","",IFERROR(INDEX(Lists!$C$2:$C$86,MATCH(E765,Lists!$A$2:$A$86,0)),"?"))</f>
        <v/>
      </c>
      <c r="I765" s="32" t="str">
        <f aca="false">IF(OR(C765="",E765=""),"",IF(H765="Yes",IFERROR(INDEX(Employees!$E$4:$E$43,MATCH(C765,Employees!$B$4:$B$43,0)),0),0))</f>
        <v/>
      </c>
      <c r="J765" s="33" t="str">
        <f aca="false">IF(G765="","",IF(H765="Yes",G765*I765,0))</f>
        <v/>
      </c>
      <c r="K765" s="33" t="str">
        <f aca="false">IF(OR(C765="",G765=""),"",G765*IFERROR(INDEX(Employees!$F$4:$F$43,MATCH(C765,Employees!$B$4:$B$43,0)),0))</f>
        <v/>
      </c>
      <c r="L765" s="28"/>
    </row>
    <row r="766" customFormat="false" ht="15" hidden="false" customHeight="false" outlineLevel="0" collapsed="false">
      <c r="A766" s="26"/>
      <c r="B766" s="19" t="str">
        <f aca="false">IF(A766="","",A766+7-WEEKDAY(A766,1)+1)</f>
        <v/>
      </c>
      <c r="C766" s="28"/>
      <c r="D766" s="29"/>
      <c r="E766" s="28"/>
      <c r="F766" s="28"/>
      <c r="G766" s="30"/>
      <c r="H766" s="23" t="str">
        <f aca="false">IF(E766="","",IFERROR(INDEX(Lists!$C$2:$C$86,MATCH(E766,Lists!$A$2:$A$86,0)),"?"))</f>
        <v/>
      </c>
      <c r="I766" s="24" t="str">
        <f aca="false">IF(OR(C766="",E766=""),"",IF(H766="Yes",IFERROR(INDEX(Employees!$E$4:$E$43,MATCH(C766,Employees!$B$4:$B$43,0)),0),0))</f>
        <v/>
      </c>
      <c r="J766" s="25" t="str">
        <f aca="false">IF(G766="","",IF(H766="Yes",G766*I766,0))</f>
        <v/>
      </c>
      <c r="K766" s="25" t="str">
        <f aca="false">IF(OR(C766="",G766=""),"",G766*IFERROR(INDEX(Employees!$F$4:$F$43,MATCH(C766,Employees!$B$4:$B$43,0)),0))</f>
        <v/>
      </c>
      <c r="L766" s="28"/>
    </row>
    <row r="767" customFormat="false" ht="15" hidden="false" customHeight="false" outlineLevel="0" collapsed="false">
      <c r="A767" s="26"/>
      <c r="B767" s="27" t="str">
        <f aca="false">IF(A767="","",A767+7-WEEKDAY(A767,1)+1)</f>
        <v/>
      </c>
      <c r="C767" s="28"/>
      <c r="D767" s="29"/>
      <c r="E767" s="28"/>
      <c r="F767" s="28"/>
      <c r="G767" s="30"/>
      <c r="H767" s="31" t="str">
        <f aca="false">IF(E767="","",IFERROR(INDEX(Lists!$C$2:$C$86,MATCH(E767,Lists!$A$2:$A$86,0)),"?"))</f>
        <v/>
      </c>
      <c r="I767" s="32" t="str">
        <f aca="false">IF(OR(C767="",E767=""),"",IF(H767="Yes",IFERROR(INDEX(Employees!$E$4:$E$43,MATCH(C767,Employees!$B$4:$B$43,0)),0),0))</f>
        <v/>
      </c>
      <c r="J767" s="33" t="str">
        <f aca="false">IF(G767="","",IF(H767="Yes",G767*I767,0))</f>
        <v/>
      </c>
      <c r="K767" s="33" t="str">
        <f aca="false">IF(OR(C767="",G767=""),"",G767*IFERROR(INDEX(Employees!$F$4:$F$43,MATCH(C767,Employees!$B$4:$B$43,0)),0))</f>
        <v/>
      </c>
      <c r="L767" s="28"/>
    </row>
    <row r="768" customFormat="false" ht="15" hidden="false" customHeight="false" outlineLevel="0" collapsed="false">
      <c r="A768" s="26"/>
      <c r="B768" s="19" t="str">
        <f aca="false">IF(A768="","",A768+7-WEEKDAY(A768,1)+1)</f>
        <v/>
      </c>
      <c r="C768" s="28"/>
      <c r="D768" s="29"/>
      <c r="E768" s="28"/>
      <c r="F768" s="28"/>
      <c r="G768" s="30"/>
      <c r="H768" s="23" t="str">
        <f aca="false">IF(E768="","",IFERROR(INDEX(Lists!$C$2:$C$86,MATCH(E768,Lists!$A$2:$A$86,0)),"?"))</f>
        <v/>
      </c>
      <c r="I768" s="24" t="str">
        <f aca="false">IF(OR(C768="",E768=""),"",IF(H768="Yes",IFERROR(INDEX(Employees!$E$4:$E$43,MATCH(C768,Employees!$B$4:$B$43,0)),0),0))</f>
        <v/>
      </c>
      <c r="J768" s="25" t="str">
        <f aca="false">IF(G768="","",IF(H768="Yes",G768*I768,0))</f>
        <v/>
      </c>
      <c r="K768" s="25" t="str">
        <f aca="false">IF(OR(C768="",G768=""),"",G768*IFERROR(INDEX(Employees!$F$4:$F$43,MATCH(C768,Employees!$B$4:$B$43,0)),0))</f>
        <v/>
      </c>
      <c r="L768" s="28"/>
    </row>
    <row r="769" customFormat="false" ht="15" hidden="false" customHeight="false" outlineLevel="0" collapsed="false">
      <c r="A769" s="26"/>
      <c r="B769" s="27" t="str">
        <f aca="false">IF(A769="","",A769+7-WEEKDAY(A769,1)+1)</f>
        <v/>
      </c>
      <c r="C769" s="28"/>
      <c r="D769" s="29"/>
      <c r="E769" s="28"/>
      <c r="F769" s="28"/>
      <c r="G769" s="30"/>
      <c r="H769" s="31" t="str">
        <f aca="false">IF(E769="","",IFERROR(INDEX(Lists!$C$2:$C$86,MATCH(E769,Lists!$A$2:$A$86,0)),"?"))</f>
        <v/>
      </c>
      <c r="I769" s="32" t="str">
        <f aca="false">IF(OR(C769="",E769=""),"",IF(H769="Yes",IFERROR(INDEX(Employees!$E$4:$E$43,MATCH(C769,Employees!$B$4:$B$43,0)),0),0))</f>
        <v/>
      </c>
      <c r="J769" s="33" t="str">
        <f aca="false">IF(G769="","",IF(H769="Yes",G769*I769,0))</f>
        <v/>
      </c>
      <c r="K769" s="33" t="str">
        <f aca="false">IF(OR(C769="",G769=""),"",G769*IFERROR(INDEX(Employees!$F$4:$F$43,MATCH(C769,Employees!$B$4:$B$43,0)),0))</f>
        <v/>
      </c>
      <c r="L769" s="28"/>
    </row>
    <row r="770" customFormat="false" ht="15" hidden="false" customHeight="false" outlineLevel="0" collapsed="false">
      <c r="A770" s="26"/>
      <c r="B770" s="19" t="str">
        <f aca="false">IF(A770="","",A770+7-WEEKDAY(A770,1)+1)</f>
        <v/>
      </c>
      <c r="C770" s="28"/>
      <c r="D770" s="29"/>
      <c r="E770" s="28"/>
      <c r="F770" s="28"/>
      <c r="G770" s="30"/>
      <c r="H770" s="23" t="str">
        <f aca="false">IF(E770="","",IFERROR(INDEX(Lists!$C$2:$C$86,MATCH(E770,Lists!$A$2:$A$86,0)),"?"))</f>
        <v/>
      </c>
      <c r="I770" s="24" t="str">
        <f aca="false">IF(OR(C770="",E770=""),"",IF(H770="Yes",IFERROR(INDEX(Employees!$E$4:$E$43,MATCH(C770,Employees!$B$4:$B$43,0)),0),0))</f>
        <v/>
      </c>
      <c r="J770" s="25" t="str">
        <f aca="false">IF(G770="","",IF(H770="Yes",G770*I770,0))</f>
        <v/>
      </c>
      <c r="K770" s="25" t="str">
        <f aca="false">IF(OR(C770="",G770=""),"",G770*IFERROR(INDEX(Employees!$F$4:$F$43,MATCH(C770,Employees!$B$4:$B$43,0)),0))</f>
        <v/>
      </c>
      <c r="L770" s="28"/>
    </row>
    <row r="771" customFormat="false" ht="15" hidden="false" customHeight="false" outlineLevel="0" collapsed="false">
      <c r="A771" s="26"/>
      <c r="B771" s="27" t="str">
        <f aca="false">IF(A771="","",A771+7-WEEKDAY(A771,1)+1)</f>
        <v/>
      </c>
      <c r="C771" s="28"/>
      <c r="D771" s="29"/>
      <c r="E771" s="28"/>
      <c r="F771" s="28"/>
      <c r="G771" s="30"/>
      <c r="H771" s="31" t="str">
        <f aca="false">IF(E771="","",IFERROR(INDEX(Lists!$C$2:$C$86,MATCH(E771,Lists!$A$2:$A$86,0)),"?"))</f>
        <v/>
      </c>
      <c r="I771" s="32" t="str">
        <f aca="false">IF(OR(C771="",E771=""),"",IF(H771="Yes",IFERROR(INDEX(Employees!$E$4:$E$43,MATCH(C771,Employees!$B$4:$B$43,0)),0),0))</f>
        <v/>
      </c>
      <c r="J771" s="33" t="str">
        <f aca="false">IF(G771="","",IF(H771="Yes",G771*I771,0))</f>
        <v/>
      </c>
      <c r="K771" s="33" t="str">
        <f aca="false">IF(OR(C771="",G771=""),"",G771*IFERROR(INDEX(Employees!$F$4:$F$43,MATCH(C771,Employees!$B$4:$B$43,0)),0))</f>
        <v/>
      </c>
      <c r="L771" s="28"/>
    </row>
    <row r="772" customFormat="false" ht="15" hidden="false" customHeight="false" outlineLevel="0" collapsed="false">
      <c r="A772" s="26"/>
      <c r="B772" s="19" t="str">
        <f aca="false">IF(A772="","",A772+7-WEEKDAY(A772,1)+1)</f>
        <v/>
      </c>
      <c r="C772" s="28"/>
      <c r="D772" s="29"/>
      <c r="E772" s="28"/>
      <c r="F772" s="28"/>
      <c r="G772" s="30"/>
      <c r="H772" s="23" t="str">
        <f aca="false">IF(E772="","",IFERROR(INDEX(Lists!$C$2:$C$86,MATCH(E772,Lists!$A$2:$A$86,0)),"?"))</f>
        <v/>
      </c>
      <c r="I772" s="24" t="str">
        <f aca="false">IF(OR(C772="",E772=""),"",IF(H772="Yes",IFERROR(INDEX(Employees!$E$4:$E$43,MATCH(C772,Employees!$B$4:$B$43,0)),0),0))</f>
        <v/>
      </c>
      <c r="J772" s="25" t="str">
        <f aca="false">IF(G772="","",IF(H772="Yes",G772*I772,0))</f>
        <v/>
      </c>
      <c r="K772" s="25" t="str">
        <f aca="false">IF(OR(C772="",G772=""),"",G772*IFERROR(INDEX(Employees!$F$4:$F$43,MATCH(C772,Employees!$B$4:$B$43,0)),0))</f>
        <v/>
      </c>
      <c r="L772" s="28"/>
    </row>
    <row r="773" customFormat="false" ht="15" hidden="false" customHeight="false" outlineLevel="0" collapsed="false">
      <c r="A773" s="26"/>
      <c r="B773" s="27" t="str">
        <f aca="false">IF(A773="","",A773+7-WEEKDAY(A773,1)+1)</f>
        <v/>
      </c>
      <c r="C773" s="28"/>
      <c r="D773" s="29"/>
      <c r="E773" s="28"/>
      <c r="F773" s="28"/>
      <c r="G773" s="30"/>
      <c r="H773" s="31" t="str">
        <f aca="false">IF(E773="","",IFERROR(INDEX(Lists!$C$2:$C$86,MATCH(E773,Lists!$A$2:$A$86,0)),"?"))</f>
        <v/>
      </c>
      <c r="I773" s="32" t="str">
        <f aca="false">IF(OR(C773="",E773=""),"",IF(H773="Yes",IFERROR(INDEX(Employees!$E$4:$E$43,MATCH(C773,Employees!$B$4:$B$43,0)),0),0))</f>
        <v/>
      </c>
      <c r="J773" s="33" t="str">
        <f aca="false">IF(G773="","",IF(H773="Yes",G773*I773,0))</f>
        <v/>
      </c>
      <c r="K773" s="33" t="str">
        <f aca="false">IF(OR(C773="",G773=""),"",G773*IFERROR(INDEX(Employees!$F$4:$F$43,MATCH(C773,Employees!$B$4:$B$43,0)),0))</f>
        <v/>
      </c>
      <c r="L773" s="28"/>
    </row>
    <row r="774" customFormat="false" ht="15" hidden="false" customHeight="false" outlineLevel="0" collapsed="false">
      <c r="A774" s="26"/>
      <c r="B774" s="19" t="str">
        <f aca="false">IF(A774="","",A774+7-WEEKDAY(A774,1)+1)</f>
        <v/>
      </c>
      <c r="C774" s="28"/>
      <c r="D774" s="29"/>
      <c r="E774" s="28"/>
      <c r="F774" s="28"/>
      <c r="G774" s="30"/>
      <c r="H774" s="23" t="str">
        <f aca="false">IF(E774="","",IFERROR(INDEX(Lists!$C$2:$C$86,MATCH(E774,Lists!$A$2:$A$86,0)),"?"))</f>
        <v/>
      </c>
      <c r="I774" s="24" t="str">
        <f aca="false">IF(OR(C774="",E774=""),"",IF(H774="Yes",IFERROR(INDEX(Employees!$E$4:$E$43,MATCH(C774,Employees!$B$4:$B$43,0)),0),0))</f>
        <v/>
      </c>
      <c r="J774" s="25" t="str">
        <f aca="false">IF(G774="","",IF(H774="Yes",G774*I774,0))</f>
        <v/>
      </c>
      <c r="K774" s="25" t="str">
        <f aca="false">IF(OR(C774="",G774=""),"",G774*IFERROR(INDEX(Employees!$F$4:$F$43,MATCH(C774,Employees!$B$4:$B$43,0)),0))</f>
        <v/>
      </c>
      <c r="L774" s="28"/>
    </row>
    <row r="775" customFormat="false" ht="15" hidden="false" customHeight="false" outlineLevel="0" collapsed="false">
      <c r="A775" s="26"/>
      <c r="B775" s="27" t="str">
        <f aca="false">IF(A775="","",A775+7-WEEKDAY(A775,1)+1)</f>
        <v/>
      </c>
      <c r="C775" s="28"/>
      <c r="D775" s="29"/>
      <c r="E775" s="28"/>
      <c r="F775" s="28"/>
      <c r="G775" s="30"/>
      <c r="H775" s="31" t="str">
        <f aca="false">IF(E775="","",IFERROR(INDEX(Lists!$C$2:$C$86,MATCH(E775,Lists!$A$2:$A$86,0)),"?"))</f>
        <v/>
      </c>
      <c r="I775" s="32" t="str">
        <f aca="false">IF(OR(C775="",E775=""),"",IF(H775="Yes",IFERROR(INDEX(Employees!$E$4:$E$43,MATCH(C775,Employees!$B$4:$B$43,0)),0),0))</f>
        <v/>
      </c>
      <c r="J775" s="33" t="str">
        <f aca="false">IF(G775="","",IF(H775="Yes",G775*I775,0))</f>
        <v/>
      </c>
      <c r="K775" s="33" t="str">
        <f aca="false">IF(OR(C775="",G775=""),"",G775*IFERROR(INDEX(Employees!$F$4:$F$43,MATCH(C775,Employees!$B$4:$B$43,0)),0))</f>
        <v/>
      </c>
      <c r="L775" s="28"/>
    </row>
    <row r="776" customFormat="false" ht="15" hidden="false" customHeight="false" outlineLevel="0" collapsed="false">
      <c r="A776" s="26"/>
      <c r="B776" s="19" t="str">
        <f aca="false">IF(A776="","",A776+7-WEEKDAY(A776,1)+1)</f>
        <v/>
      </c>
      <c r="C776" s="28"/>
      <c r="D776" s="29"/>
      <c r="E776" s="28"/>
      <c r="F776" s="28"/>
      <c r="G776" s="30"/>
      <c r="H776" s="23" t="str">
        <f aca="false">IF(E776="","",IFERROR(INDEX(Lists!$C$2:$C$86,MATCH(E776,Lists!$A$2:$A$86,0)),"?"))</f>
        <v/>
      </c>
      <c r="I776" s="24" t="str">
        <f aca="false">IF(OR(C776="",E776=""),"",IF(H776="Yes",IFERROR(INDEX(Employees!$E$4:$E$43,MATCH(C776,Employees!$B$4:$B$43,0)),0),0))</f>
        <v/>
      </c>
      <c r="J776" s="25" t="str">
        <f aca="false">IF(G776="","",IF(H776="Yes",G776*I776,0))</f>
        <v/>
      </c>
      <c r="K776" s="25" t="str">
        <f aca="false">IF(OR(C776="",G776=""),"",G776*IFERROR(INDEX(Employees!$F$4:$F$43,MATCH(C776,Employees!$B$4:$B$43,0)),0))</f>
        <v/>
      </c>
      <c r="L776" s="28"/>
    </row>
    <row r="777" customFormat="false" ht="15" hidden="false" customHeight="false" outlineLevel="0" collapsed="false">
      <c r="A777" s="26"/>
      <c r="B777" s="27" t="str">
        <f aca="false">IF(A777="","",A777+7-WEEKDAY(A777,1)+1)</f>
        <v/>
      </c>
      <c r="C777" s="28"/>
      <c r="D777" s="29"/>
      <c r="E777" s="28"/>
      <c r="F777" s="28"/>
      <c r="G777" s="30"/>
      <c r="H777" s="31" t="str">
        <f aca="false">IF(E777="","",IFERROR(INDEX(Lists!$C$2:$C$86,MATCH(E777,Lists!$A$2:$A$86,0)),"?"))</f>
        <v/>
      </c>
      <c r="I777" s="32" t="str">
        <f aca="false">IF(OR(C777="",E777=""),"",IF(H777="Yes",IFERROR(INDEX(Employees!$E$4:$E$43,MATCH(C777,Employees!$B$4:$B$43,0)),0),0))</f>
        <v/>
      </c>
      <c r="J777" s="33" t="str">
        <f aca="false">IF(G777="","",IF(H777="Yes",G777*I777,0))</f>
        <v/>
      </c>
      <c r="K777" s="33" t="str">
        <f aca="false">IF(OR(C777="",G777=""),"",G777*IFERROR(INDEX(Employees!$F$4:$F$43,MATCH(C777,Employees!$B$4:$B$43,0)),0))</f>
        <v/>
      </c>
      <c r="L777" s="28"/>
    </row>
    <row r="778" customFormat="false" ht="15" hidden="false" customHeight="false" outlineLevel="0" collapsed="false">
      <c r="A778" s="26"/>
      <c r="B778" s="19" t="str">
        <f aca="false">IF(A778="","",A778+7-WEEKDAY(A778,1)+1)</f>
        <v/>
      </c>
      <c r="C778" s="28"/>
      <c r="D778" s="29"/>
      <c r="E778" s="28"/>
      <c r="F778" s="28"/>
      <c r="G778" s="30"/>
      <c r="H778" s="23" t="str">
        <f aca="false">IF(E778="","",IFERROR(INDEX(Lists!$C$2:$C$86,MATCH(E778,Lists!$A$2:$A$86,0)),"?"))</f>
        <v/>
      </c>
      <c r="I778" s="24" t="str">
        <f aca="false">IF(OR(C778="",E778=""),"",IF(H778="Yes",IFERROR(INDEX(Employees!$E$4:$E$43,MATCH(C778,Employees!$B$4:$B$43,0)),0),0))</f>
        <v/>
      </c>
      <c r="J778" s="25" t="str">
        <f aca="false">IF(G778="","",IF(H778="Yes",G778*I778,0))</f>
        <v/>
      </c>
      <c r="K778" s="25" t="str">
        <f aca="false">IF(OR(C778="",G778=""),"",G778*IFERROR(INDEX(Employees!$F$4:$F$43,MATCH(C778,Employees!$B$4:$B$43,0)),0))</f>
        <v/>
      </c>
      <c r="L778" s="28"/>
    </row>
    <row r="779" customFormat="false" ht="15" hidden="false" customHeight="false" outlineLevel="0" collapsed="false">
      <c r="A779" s="26"/>
      <c r="B779" s="27" t="str">
        <f aca="false">IF(A779="","",A779+7-WEEKDAY(A779,1)+1)</f>
        <v/>
      </c>
      <c r="C779" s="28"/>
      <c r="D779" s="29"/>
      <c r="E779" s="28"/>
      <c r="F779" s="28"/>
      <c r="G779" s="30"/>
      <c r="H779" s="31" t="str">
        <f aca="false">IF(E779="","",IFERROR(INDEX(Lists!$C$2:$C$86,MATCH(E779,Lists!$A$2:$A$86,0)),"?"))</f>
        <v/>
      </c>
      <c r="I779" s="32" t="str">
        <f aca="false">IF(OR(C779="",E779=""),"",IF(H779="Yes",IFERROR(INDEX(Employees!$E$4:$E$43,MATCH(C779,Employees!$B$4:$B$43,0)),0),0))</f>
        <v/>
      </c>
      <c r="J779" s="33" t="str">
        <f aca="false">IF(G779="","",IF(H779="Yes",G779*I779,0))</f>
        <v/>
      </c>
      <c r="K779" s="33" t="str">
        <f aca="false">IF(OR(C779="",G779=""),"",G779*IFERROR(INDEX(Employees!$F$4:$F$43,MATCH(C779,Employees!$B$4:$B$43,0)),0))</f>
        <v/>
      </c>
      <c r="L779" s="28"/>
    </row>
    <row r="780" customFormat="false" ht="15" hidden="false" customHeight="false" outlineLevel="0" collapsed="false">
      <c r="A780" s="26"/>
      <c r="B780" s="19" t="str">
        <f aca="false">IF(A780="","",A780+7-WEEKDAY(A780,1)+1)</f>
        <v/>
      </c>
      <c r="C780" s="28"/>
      <c r="D780" s="29"/>
      <c r="E780" s="28"/>
      <c r="F780" s="28"/>
      <c r="G780" s="30"/>
      <c r="H780" s="23" t="str">
        <f aca="false">IF(E780="","",IFERROR(INDEX(Lists!$C$2:$C$86,MATCH(E780,Lists!$A$2:$A$86,0)),"?"))</f>
        <v/>
      </c>
      <c r="I780" s="24" t="str">
        <f aca="false">IF(OR(C780="",E780=""),"",IF(H780="Yes",IFERROR(INDEX(Employees!$E$4:$E$43,MATCH(C780,Employees!$B$4:$B$43,0)),0),0))</f>
        <v/>
      </c>
      <c r="J780" s="25" t="str">
        <f aca="false">IF(G780="","",IF(H780="Yes",G780*I780,0))</f>
        <v/>
      </c>
      <c r="K780" s="25" t="str">
        <f aca="false">IF(OR(C780="",G780=""),"",G780*IFERROR(INDEX(Employees!$F$4:$F$43,MATCH(C780,Employees!$B$4:$B$43,0)),0))</f>
        <v/>
      </c>
      <c r="L780" s="28"/>
    </row>
    <row r="781" customFormat="false" ht="15" hidden="false" customHeight="false" outlineLevel="0" collapsed="false">
      <c r="A781" s="26"/>
      <c r="B781" s="27" t="str">
        <f aca="false">IF(A781="","",A781+7-WEEKDAY(A781,1)+1)</f>
        <v/>
      </c>
      <c r="C781" s="28"/>
      <c r="D781" s="29"/>
      <c r="E781" s="28"/>
      <c r="F781" s="28"/>
      <c r="G781" s="30"/>
      <c r="H781" s="31" t="str">
        <f aca="false">IF(E781="","",IFERROR(INDEX(Lists!$C$2:$C$86,MATCH(E781,Lists!$A$2:$A$86,0)),"?"))</f>
        <v/>
      </c>
      <c r="I781" s="32" t="str">
        <f aca="false">IF(OR(C781="",E781=""),"",IF(H781="Yes",IFERROR(INDEX(Employees!$E$4:$E$43,MATCH(C781,Employees!$B$4:$B$43,0)),0),0))</f>
        <v/>
      </c>
      <c r="J781" s="33" t="str">
        <f aca="false">IF(G781="","",IF(H781="Yes",G781*I781,0))</f>
        <v/>
      </c>
      <c r="K781" s="33" t="str">
        <f aca="false">IF(OR(C781="",G781=""),"",G781*IFERROR(INDEX(Employees!$F$4:$F$43,MATCH(C781,Employees!$B$4:$B$43,0)),0))</f>
        <v/>
      </c>
      <c r="L781" s="28"/>
    </row>
    <row r="782" customFormat="false" ht="15" hidden="false" customHeight="false" outlineLevel="0" collapsed="false">
      <c r="A782" s="26"/>
      <c r="B782" s="19" t="str">
        <f aca="false">IF(A782="","",A782+7-WEEKDAY(A782,1)+1)</f>
        <v/>
      </c>
      <c r="C782" s="28"/>
      <c r="D782" s="29"/>
      <c r="E782" s="28"/>
      <c r="F782" s="28"/>
      <c r="G782" s="30"/>
      <c r="H782" s="23" t="str">
        <f aca="false">IF(E782="","",IFERROR(INDEX(Lists!$C$2:$C$86,MATCH(E782,Lists!$A$2:$A$86,0)),"?"))</f>
        <v/>
      </c>
      <c r="I782" s="24" t="str">
        <f aca="false">IF(OR(C782="",E782=""),"",IF(H782="Yes",IFERROR(INDEX(Employees!$E$4:$E$43,MATCH(C782,Employees!$B$4:$B$43,0)),0),0))</f>
        <v/>
      </c>
      <c r="J782" s="25" t="str">
        <f aca="false">IF(G782="","",IF(H782="Yes",G782*I782,0))</f>
        <v/>
      </c>
      <c r="K782" s="25" t="str">
        <f aca="false">IF(OR(C782="",G782=""),"",G782*IFERROR(INDEX(Employees!$F$4:$F$43,MATCH(C782,Employees!$B$4:$B$43,0)),0))</f>
        <v/>
      </c>
      <c r="L782" s="28"/>
    </row>
    <row r="783" customFormat="false" ht="15" hidden="false" customHeight="false" outlineLevel="0" collapsed="false">
      <c r="A783" s="26"/>
      <c r="B783" s="27" t="str">
        <f aca="false">IF(A783="","",A783+7-WEEKDAY(A783,1)+1)</f>
        <v/>
      </c>
      <c r="C783" s="28"/>
      <c r="D783" s="29"/>
      <c r="E783" s="28"/>
      <c r="F783" s="28"/>
      <c r="G783" s="30"/>
      <c r="H783" s="31" t="str">
        <f aca="false">IF(E783="","",IFERROR(INDEX(Lists!$C$2:$C$86,MATCH(E783,Lists!$A$2:$A$86,0)),"?"))</f>
        <v/>
      </c>
      <c r="I783" s="32" t="str">
        <f aca="false">IF(OR(C783="",E783=""),"",IF(H783="Yes",IFERROR(INDEX(Employees!$E$4:$E$43,MATCH(C783,Employees!$B$4:$B$43,0)),0),0))</f>
        <v/>
      </c>
      <c r="J783" s="33" t="str">
        <f aca="false">IF(G783="","",IF(H783="Yes",G783*I783,0))</f>
        <v/>
      </c>
      <c r="K783" s="33" t="str">
        <f aca="false">IF(OR(C783="",G783=""),"",G783*IFERROR(INDEX(Employees!$F$4:$F$43,MATCH(C783,Employees!$B$4:$B$43,0)),0))</f>
        <v/>
      </c>
      <c r="L783" s="28"/>
    </row>
    <row r="784" customFormat="false" ht="15" hidden="false" customHeight="false" outlineLevel="0" collapsed="false">
      <c r="A784" s="26"/>
      <c r="B784" s="19" t="str">
        <f aca="false">IF(A784="","",A784+7-WEEKDAY(A784,1)+1)</f>
        <v/>
      </c>
      <c r="C784" s="28"/>
      <c r="D784" s="29"/>
      <c r="E784" s="28"/>
      <c r="F784" s="28"/>
      <c r="G784" s="30"/>
      <c r="H784" s="23" t="str">
        <f aca="false">IF(E784="","",IFERROR(INDEX(Lists!$C$2:$C$86,MATCH(E784,Lists!$A$2:$A$86,0)),"?"))</f>
        <v/>
      </c>
      <c r="I784" s="24" t="str">
        <f aca="false">IF(OR(C784="",E784=""),"",IF(H784="Yes",IFERROR(INDEX(Employees!$E$4:$E$43,MATCH(C784,Employees!$B$4:$B$43,0)),0),0))</f>
        <v/>
      </c>
      <c r="J784" s="25" t="str">
        <f aca="false">IF(G784="","",IF(H784="Yes",G784*I784,0))</f>
        <v/>
      </c>
      <c r="K784" s="25" t="str">
        <f aca="false">IF(OR(C784="",G784=""),"",G784*IFERROR(INDEX(Employees!$F$4:$F$43,MATCH(C784,Employees!$B$4:$B$43,0)),0))</f>
        <v/>
      </c>
      <c r="L784" s="28"/>
    </row>
    <row r="785" customFormat="false" ht="15" hidden="false" customHeight="false" outlineLevel="0" collapsed="false">
      <c r="A785" s="26"/>
      <c r="B785" s="27" t="str">
        <f aca="false">IF(A785="","",A785+7-WEEKDAY(A785,1)+1)</f>
        <v/>
      </c>
      <c r="C785" s="28"/>
      <c r="D785" s="29"/>
      <c r="E785" s="28"/>
      <c r="F785" s="28"/>
      <c r="G785" s="30"/>
      <c r="H785" s="31" t="str">
        <f aca="false">IF(E785="","",IFERROR(INDEX(Lists!$C$2:$C$86,MATCH(E785,Lists!$A$2:$A$86,0)),"?"))</f>
        <v/>
      </c>
      <c r="I785" s="32" t="str">
        <f aca="false">IF(OR(C785="",E785=""),"",IF(H785="Yes",IFERROR(INDEX(Employees!$E$4:$E$43,MATCH(C785,Employees!$B$4:$B$43,0)),0),0))</f>
        <v/>
      </c>
      <c r="J785" s="33" t="str">
        <f aca="false">IF(G785="","",IF(H785="Yes",G785*I785,0))</f>
        <v/>
      </c>
      <c r="K785" s="33" t="str">
        <f aca="false">IF(OR(C785="",G785=""),"",G785*IFERROR(INDEX(Employees!$F$4:$F$43,MATCH(C785,Employees!$B$4:$B$43,0)),0))</f>
        <v/>
      </c>
      <c r="L785" s="28"/>
    </row>
    <row r="786" customFormat="false" ht="15" hidden="false" customHeight="false" outlineLevel="0" collapsed="false">
      <c r="A786" s="26"/>
      <c r="B786" s="19" t="str">
        <f aca="false">IF(A786="","",A786+7-WEEKDAY(A786,1)+1)</f>
        <v/>
      </c>
      <c r="C786" s="28"/>
      <c r="D786" s="29"/>
      <c r="E786" s="28"/>
      <c r="F786" s="28"/>
      <c r="G786" s="30"/>
      <c r="H786" s="23" t="str">
        <f aca="false">IF(E786="","",IFERROR(INDEX(Lists!$C$2:$C$86,MATCH(E786,Lists!$A$2:$A$86,0)),"?"))</f>
        <v/>
      </c>
      <c r="I786" s="24" t="str">
        <f aca="false">IF(OR(C786="",E786=""),"",IF(H786="Yes",IFERROR(INDEX(Employees!$E$4:$E$43,MATCH(C786,Employees!$B$4:$B$43,0)),0),0))</f>
        <v/>
      </c>
      <c r="J786" s="25" t="str">
        <f aca="false">IF(G786="","",IF(H786="Yes",G786*I786,0))</f>
        <v/>
      </c>
      <c r="K786" s="25" t="str">
        <f aca="false">IF(OR(C786="",G786=""),"",G786*IFERROR(INDEX(Employees!$F$4:$F$43,MATCH(C786,Employees!$B$4:$B$43,0)),0))</f>
        <v/>
      </c>
      <c r="L786" s="28"/>
    </row>
    <row r="787" customFormat="false" ht="15" hidden="false" customHeight="false" outlineLevel="0" collapsed="false">
      <c r="A787" s="26"/>
      <c r="B787" s="27" t="str">
        <f aca="false">IF(A787="","",A787+7-WEEKDAY(A787,1)+1)</f>
        <v/>
      </c>
      <c r="C787" s="28"/>
      <c r="D787" s="29"/>
      <c r="E787" s="28"/>
      <c r="F787" s="28"/>
      <c r="G787" s="30"/>
      <c r="H787" s="31" t="str">
        <f aca="false">IF(E787="","",IFERROR(INDEX(Lists!$C$2:$C$86,MATCH(E787,Lists!$A$2:$A$86,0)),"?"))</f>
        <v/>
      </c>
      <c r="I787" s="32" t="str">
        <f aca="false">IF(OR(C787="",E787=""),"",IF(H787="Yes",IFERROR(INDEX(Employees!$E$4:$E$43,MATCH(C787,Employees!$B$4:$B$43,0)),0),0))</f>
        <v/>
      </c>
      <c r="J787" s="33" t="str">
        <f aca="false">IF(G787="","",IF(H787="Yes",G787*I787,0))</f>
        <v/>
      </c>
      <c r="K787" s="33" t="str">
        <f aca="false">IF(OR(C787="",G787=""),"",G787*IFERROR(INDEX(Employees!$F$4:$F$43,MATCH(C787,Employees!$B$4:$B$43,0)),0))</f>
        <v/>
      </c>
      <c r="L787" s="28"/>
    </row>
    <row r="788" customFormat="false" ht="15" hidden="false" customHeight="false" outlineLevel="0" collapsed="false">
      <c r="A788" s="26"/>
      <c r="B788" s="19" t="str">
        <f aca="false">IF(A788="","",A788+7-WEEKDAY(A788,1)+1)</f>
        <v/>
      </c>
      <c r="C788" s="28"/>
      <c r="D788" s="29"/>
      <c r="E788" s="28"/>
      <c r="F788" s="28"/>
      <c r="G788" s="30"/>
      <c r="H788" s="23" t="str">
        <f aca="false">IF(E788="","",IFERROR(INDEX(Lists!$C$2:$C$86,MATCH(E788,Lists!$A$2:$A$86,0)),"?"))</f>
        <v/>
      </c>
      <c r="I788" s="24" t="str">
        <f aca="false">IF(OR(C788="",E788=""),"",IF(H788="Yes",IFERROR(INDEX(Employees!$E$4:$E$43,MATCH(C788,Employees!$B$4:$B$43,0)),0),0))</f>
        <v/>
      </c>
      <c r="J788" s="25" t="str">
        <f aca="false">IF(G788="","",IF(H788="Yes",G788*I788,0))</f>
        <v/>
      </c>
      <c r="K788" s="25" t="str">
        <f aca="false">IF(OR(C788="",G788=""),"",G788*IFERROR(INDEX(Employees!$F$4:$F$43,MATCH(C788,Employees!$B$4:$B$43,0)),0))</f>
        <v/>
      </c>
      <c r="L788" s="28"/>
    </row>
    <row r="789" customFormat="false" ht="15" hidden="false" customHeight="false" outlineLevel="0" collapsed="false">
      <c r="A789" s="26"/>
      <c r="B789" s="27" t="str">
        <f aca="false">IF(A789="","",A789+7-WEEKDAY(A789,1)+1)</f>
        <v/>
      </c>
      <c r="C789" s="28"/>
      <c r="D789" s="29"/>
      <c r="E789" s="28"/>
      <c r="F789" s="28"/>
      <c r="G789" s="30"/>
      <c r="H789" s="31" t="str">
        <f aca="false">IF(E789="","",IFERROR(INDEX(Lists!$C$2:$C$86,MATCH(E789,Lists!$A$2:$A$86,0)),"?"))</f>
        <v/>
      </c>
      <c r="I789" s="32" t="str">
        <f aca="false">IF(OR(C789="",E789=""),"",IF(H789="Yes",IFERROR(INDEX(Employees!$E$4:$E$43,MATCH(C789,Employees!$B$4:$B$43,0)),0),0))</f>
        <v/>
      </c>
      <c r="J789" s="33" t="str">
        <f aca="false">IF(G789="","",IF(H789="Yes",G789*I789,0))</f>
        <v/>
      </c>
      <c r="K789" s="33" t="str">
        <f aca="false">IF(OR(C789="",G789=""),"",G789*IFERROR(INDEX(Employees!$F$4:$F$43,MATCH(C789,Employees!$B$4:$B$43,0)),0))</f>
        <v/>
      </c>
      <c r="L789" s="28"/>
    </row>
    <row r="790" customFormat="false" ht="15" hidden="false" customHeight="false" outlineLevel="0" collapsed="false">
      <c r="A790" s="26"/>
      <c r="B790" s="19" t="str">
        <f aca="false">IF(A790="","",A790+7-WEEKDAY(A790,1)+1)</f>
        <v/>
      </c>
      <c r="C790" s="28"/>
      <c r="D790" s="29"/>
      <c r="E790" s="28"/>
      <c r="F790" s="28"/>
      <c r="G790" s="30"/>
      <c r="H790" s="23" t="str">
        <f aca="false">IF(E790="","",IFERROR(INDEX(Lists!$C$2:$C$86,MATCH(E790,Lists!$A$2:$A$86,0)),"?"))</f>
        <v/>
      </c>
      <c r="I790" s="24" t="str">
        <f aca="false">IF(OR(C790="",E790=""),"",IF(H790="Yes",IFERROR(INDEX(Employees!$E$4:$E$43,MATCH(C790,Employees!$B$4:$B$43,0)),0),0))</f>
        <v/>
      </c>
      <c r="J790" s="25" t="str">
        <f aca="false">IF(G790="","",IF(H790="Yes",G790*I790,0))</f>
        <v/>
      </c>
      <c r="K790" s="25" t="str">
        <f aca="false">IF(OR(C790="",G790=""),"",G790*IFERROR(INDEX(Employees!$F$4:$F$43,MATCH(C790,Employees!$B$4:$B$43,0)),0))</f>
        <v/>
      </c>
      <c r="L790" s="28"/>
    </row>
    <row r="791" customFormat="false" ht="15" hidden="false" customHeight="false" outlineLevel="0" collapsed="false">
      <c r="A791" s="26"/>
      <c r="B791" s="27" t="str">
        <f aca="false">IF(A791="","",A791+7-WEEKDAY(A791,1)+1)</f>
        <v/>
      </c>
      <c r="C791" s="28"/>
      <c r="D791" s="29"/>
      <c r="E791" s="28"/>
      <c r="F791" s="28"/>
      <c r="G791" s="30"/>
      <c r="H791" s="31" t="str">
        <f aca="false">IF(E791="","",IFERROR(INDEX(Lists!$C$2:$C$86,MATCH(E791,Lists!$A$2:$A$86,0)),"?"))</f>
        <v/>
      </c>
      <c r="I791" s="32" t="str">
        <f aca="false">IF(OR(C791="",E791=""),"",IF(H791="Yes",IFERROR(INDEX(Employees!$E$4:$E$43,MATCH(C791,Employees!$B$4:$B$43,0)),0),0))</f>
        <v/>
      </c>
      <c r="J791" s="33" t="str">
        <f aca="false">IF(G791="","",IF(H791="Yes",G791*I791,0))</f>
        <v/>
      </c>
      <c r="K791" s="33" t="str">
        <f aca="false">IF(OR(C791="",G791=""),"",G791*IFERROR(INDEX(Employees!$F$4:$F$43,MATCH(C791,Employees!$B$4:$B$43,0)),0))</f>
        <v/>
      </c>
      <c r="L791" s="28"/>
    </row>
    <row r="792" customFormat="false" ht="15" hidden="false" customHeight="false" outlineLevel="0" collapsed="false">
      <c r="A792" s="26"/>
      <c r="B792" s="19" t="str">
        <f aca="false">IF(A792="","",A792+7-WEEKDAY(A792,1)+1)</f>
        <v/>
      </c>
      <c r="C792" s="28"/>
      <c r="D792" s="29"/>
      <c r="E792" s="28"/>
      <c r="F792" s="28"/>
      <c r="G792" s="30"/>
      <c r="H792" s="23" t="str">
        <f aca="false">IF(E792="","",IFERROR(INDEX(Lists!$C$2:$C$86,MATCH(E792,Lists!$A$2:$A$86,0)),"?"))</f>
        <v/>
      </c>
      <c r="I792" s="24" t="str">
        <f aca="false">IF(OR(C792="",E792=""),"",IF(H792="Yes",IFERROR(INDEX(Employees!$E$4:$E$43,MATCH(C792,Employees!$B$4:$B$43,0)),0),0))</f>
        <v/>
      </c>
      <c r="J792" s="25" t="str">
        <f aca="false">IF(G792="","",IF(H792="Yes",G792*I792,0))</f>
        <v/>
      </c>
      <c r="K792" s="25" t="str">
        <f aca="false">IF(OR(C792="",G792=""),"",G792*IFERROR(INDEX(Employees!$F$4:$F$43,MATCH(C792,Employees!$B$4:$B$43,0)),0))</f>
        <v/>
      </c>
      <c r="L792" s="28"/>
    </row>
    <row r="793" customFormat="false" ht="15" hidden="false" customHeight="false" outlineLevel="0" collapsed="false">
      <c r="A793" s="26"/>
      <c r="B793" s="27" t="str">
        <f aca="false">IF(A793="","",A793+7-WEEKDAY(A793,1)+1)</f>
        <v/>
      </c>
      <c r="C793" s="28"/>
      <c r="D793" s="29"/>
      <c r="E793" s="28"/>
      <c r="F793" s="28"/>
      <c r="G793" s="30"/>
      <c r="H793" s="31" t="str">
        <f aca="false">IF(E793="","",IFERROR(INDEX(Lists!$C$2:$C$86,MATCH(E793,Lists!$A$2:$A$86,0)),"?"))</f>
        <v/>
      </c>
      <c r="I793" s="32" t="str">
        <f aca="false">IF(OR(C793="",E793=""),"",IF(H793="Yes",IFERROR(INDEX(Employees!$E$4:$E$43,MATCH(C793,Employees!$B$4:$B$43,0)),0),0))</f>
        <v/>
      </c>
      <c r="J793" s="33" t="str">
        <f aca="false">IF(G793="","",IF(H793="Yes",G793*I793,0))</f>
        <v/>
      </c>
      <c r="K793" s="33" t="str">
        <f aca="false">IF(OR(C793="",G793=""),"",G793*IFERROR(INDEX(Employees!$F$4:$F$43,MATCH(C793,Employees!$B$4:$B$43,0)),0))</f>
        <v/>
      </c>
      <c r="L793" s="28"/>
    </row>
    <row r="794" customFormat="false" ht="15" hidden="false" customHeight="false" outlineLevel="0" collapsed="false">
      <c r="A794" s="26"/>
      <c r="B794" s="19" t="str">
        <f aca="false">IF(A794="","",A794+7-WEEKDAY(A794,1)+1)</f>
        <v/>
      </c>
      <c r="C794" s="28"/>
      <c r="D794" s="29"/>
      <c r="E794" s="28"/>
      <c r="F794" s="28"/>
      <c r="G794" s="30"/>
      <c r="H794" s="23" t="str">
        <f aca="false">IF(E794="","",IFERROR(INDEX(Lists!$C$2:$C$86,MATCH(E794,Lists!$A$2:$A$86,0)),"?"))</f>
        <v/>
      </c>
      <c r="I794" s="24" t="str">
        <f aca="false">IF(OR(C794="",E794=""),"",IF(H794="Yes",IFERROR(INDEX(Employees!$E$4:$E$43,MATCH(C794,Employees!$B$4:$B$43,0)),0),0))</f>
        <v/>
      </c>
      <c r="J794" s="25" t="str">
        <f aca="false">IF(G794="","",IF(H794="Yes",G794*I794,0))</f>
        <v/>
      </c>
      <c r="K794" s="25" t="str">
        <f aca="false">IF(OR(C794="",G794=""),"",G794*IFERROR(INDEX(Employees!$F$4:$F$43,MATCH(C794,Employees!$B$4:$B$43,0)),0))</f>
        <v/>
      </c>
      <c r="L794" s="28"/>
    </row>
    <row r="795" customFormat="false" ht="15" hidden="false" customHeight="false" outlineLevel="0" collapsed="false">
      <c r="A795" s="26"/>
      <c r="B795" s="27" t="str">
        <f aca="false">IF(A795="","",A795+7-WEEKDAY(A795,1)+1)</f>
        <v/>
      </c>
      <c r="C795" s="28"/>
      <c r="D795" s="29"/>
      <c r="E795" s="28"/>
      <c r="F795" s="28"/>
      <c r="G795" s="30"/>
      <c r="H795" s="31" t="str">
        <f aca="false">IF(E795="","",IFERROR(INDEX(Lists!$C$2:$C$86,MATCH(E795,Lists!$A$2:$A$86,0)),"?"))</f>
        <v/>
      </c>
      <c r="I795" s="32" t="str">
        <f aca="false">IF(OR(C795="",E795=""),"",IF(H795="Yes",IFERROR(INDEX(Employees!$E$4:$E$43,MATCH(C795,Employees!$B$4:$B$43,0)),0),0))</f>
        <v/>
      </c>
      <c r="J795" s="33" t="str">
        <f aca="false">IF(G795="","",IF(H795="Yes",G795*I795,0))</f>
        <v/>
      </c>
      <c r="K795" s="33" t="str">
        <f aca="false">IF(OR(C795="",G795=""),"",G795*IFERROR(INDEX(Employees!$F$4:$F$43,MATCH(C795,Employees!$B$4:$B$43,0)),0))</f>
        <v/>
      </c>
      <c r="L795" s="28"/>
    </row>
    <row r="796" customFormat="false" ht="15" hidden="false" customHeight="false" outlineLevel="0" collapsed="false">
      <c r="A796" s="26"/>
      <c r="B796" s="19" t="str">
        <f aca="false">IF(A796="","",A796+7-WEEKDAY(A796,1)+1)</f>
        <v/>
      </c>
      <c r="C796" s="28"/>
      <c r="D796" s="29"/>
      <c r="E796" s="28"/>
      <c r="F796" s="28"/>
      <c r="G796" s="30"/>
      <c r="H796" s="23" t="str">
        <f aca="false">IF(E796="","",IFERROR(INDEX(Lists!$C$2:$C$86,MATCH(E796,Lists!$A$2:$A$86,0)),"?"))</f>
        <v/>
      </c>
      <c r="I796" s="24" t="str">
        <f aca="false">IF(OR(C796="",E796=""),"",IF(H796="Yes",IFERROR(INDEX(Employees!$E$4:$E$43,MATCH(C796,Employees!$B$4:$B$43,0)),0),0))</f>
        <v/>
      </c>
      <c r="J796" s="25" t="str">
        <f aca="false">IF(G796="","",IF(H796="Yes",G796*I796,0))</f>
        <v/>
      </c>
      <c r="K796" s="25" t="str">
        <f aca="false">IF(OR(C796="",G796=""),"",G796*IFERROR(INDEX(Employees!$F$4:$F$43,MATCH(C796,Employees!$B$4:$B$43,0)),0))</f>
        <v/>
      </c>
      <c r="L796" s="28"/>
    </row>
    <row r="797" customFormat="false" ht="15" hidden="false" customHeight="false" outlineLevel="0" collapsed="false">
      <c r="A797" s="26"/>
      <c r="B797" s="27" t="str">
        <f aca="false">IF(A797="","",A797+7-WEEKDAY(A797,1)+1)</f>
        <v/>
      </c>
      <c r="C797" s="28"/>
      <c r="D797" s="29"/>
      <c r="E797" s="28"/>
      <c r="F797" s="28"/>
      <c r="G797" s="30"/>
      <c r="H797" s="31" t="str">
        <f aca="false">IF(E797="","",IFERROR(INDEX(Lists!$C$2:$C$86,MATCH(E797,Lists!$A$2:$A$86,0)),"?"))</f>
        <v/>
      </c>
      <c r="I797" s="32" t="str">
        <f aca="false">IF(OR(C797="",E797=""),"",IF(H797="Yes",IFERROR(INDEX(Employees!$E$4:$E$43,MATCH(C797,Employees!$B$4:$B$43,0)),0),0))</f>
        <v/>
      </c>
      <c r="J797" s="33" t="str">
        <f aca="false">IF(G797="","",IF(H797="Yes",G797*I797,0))</f>
        <v/>
      </c>
      <c r="K797" s="33" t="str">
        <f aca="false">IF(OR(C797="",G797=""),"",G797*IFERROR(INDEX(Employees!$F$4:$F$43,MATCH(C797,Employees!$B$4:$B$43,0)),0))</f>
        <v/>
      </c>
      <c r="L797" s="28"/>
    </row>
    <row r="798" customFormat="false" ht="15" hidden="false" customHeight="false" outlineLevel="0" collapsed="false">
      <c r="A798" s="26"/>
      <c r="B798" s="19" t="str">
        <f aca="false">IF(A798="","",A798+7-WEEKDAY(A798,1)+1)</f>
        <v/>
      </c>
      <c r="C798" s="28"/>
      <c r="D798" s="29"/>
      <c r="E798" s="28"/>
      <c r="F798" s="28"/>
      <c r="G798" s="30"/>
      <c r="H798" s="23" t="str">
        <f aca="false">IF(E798="","",IFERROR(INDEX(Lists!$C$2:$C$86,MATCH(E798,Lists!$A$2:$A$86,0)),"?"))</f>
        <v/>
      </c>
      <c r="I798" s="24" t="str">
        <f aca="false">IF(OR(C798="",E798=""),"",IF(H798="Yes",IFERROR(INDEX(Employees!$E$4:$E$43,MATCH(C798,Employees!$B$4:$B$43,0)),0),0))</f>
        <v/>
      </c>
      <c r="J798" s="25" t="str">
        <f aca="false">IF(G798="","",IF(H798="Yes",G798*I798,0))</f>
        <v/>
      </c>
      <c r="K798" s="25" t="str">
        <f aca="false">IF(OR(C798="",G798=""),"",G798*IFERROR(INDEX(Employees!$F$4:$F$43,MATCH(C798,Employees!$B$4:$B$43,0)),0))</f>
        <v/>
      </c>
      <c r="L798" s="28"/>
    </row>
    <row r="799" customFormat="false" ht="15" hidden="false" customHeight="false" outlineLevel="0" collapsed="false">
      <c r="A799" s="26"/>
      <c r="B799" s="27" t="str">
        <f aca="false">IF(A799="","",A799+7-WEEKDAY(A799,1)+1)</f>
        <v/>
      </c>
      <c r="C799" s="28"/>
      <c r="D799" s="29"/>
      <c r="E799" s="28"/>
      <c r="F799" s="28"/>
      <c r="G799" s="30"/>
      <c r="H799" s="31" t="str">
        <f aca="false">IF(E799="","",IFERROR(INDEX(Lists!$C$2:$C$86,MATCH(E799,Lists!$A$2:$A$86,0)),"?"))</f>
        <v/>
      </c>
      <c r="I799" s="32" t="str">
        <f aca="false">IF(OR(C799="",E799=""),"",IF(H799="Yes",IFERROR(INDEX(Employees!$E$4:$E$43,MATCH(C799,Employees!$B$4:$B$43,0)),0),0))</f>
        <v/>
      </c>
      <c r="J799" s="33" t="str">
        <f aca="false">IF(G799="","",IF(H799="Yes",G799*I799,0))</f>
        <v/>
      </c>
      <c r="K799" s="33" t="str">
        <f aca="false">IF(OR(C799="",G799=""),"",G799*IFERROR(INDEX(Employees!$F$4:$F$43,MATCH(C799,Employees!$B$4:$B$43,0)),0))</f>
        <v/>
      </c>
      <c r="L799" s="28"/>
    </row>
    <row r="800" customFormat="false" ht="15" hidden="false" customHeight="false" outlineLevel="0" collapsed="false">
      <c r="A800" s="26"/>
      <c r="B800" s="19" t="str">
        <f aca="false">IF(A800="","",A800+7-WEEKDAY(A800,1)+1)</f>
        <v/>
      </c>
      <c r="C800" s="28"/>
      <c r="D800" s="29"/>
      <c r="E800" s="28"/>
      <c r="F800" s="28"/>
      <c r="G800" s="30"/>
      <c r="H800" s="23" t="str">
        <f aca="false">IF(E800="","",IFERROR(INDEX(Lists!$C$2:$C$86,MATCH(E800,Lists!$A$2:$A$86,0)),"?"))</f>
        <v/>
      </c>
      <c r="I800" s="24" t="str">
        <f aca="false">IF(OR(C800="",E800=""),"",IF(H800="Yes",IFERROR(INDEX(Employees!$E$4:$E$43,MATCH(C800,Employees!$B$4:$B$43,0)),0),0))</f>
        <v/>
      </c>
      <c r="J800" s="25" t="str">
        <f aca="false">IF(G800="","",IF(H800="Yes",G800*I800,0))</f>
        <v/>
      </c>
      <c r="K800" s="25" t="str">
        <f aca="false">IF(OR(C800="",G800=""),"",G800*IFERROR(INDEX(Employees!$F$4:$F$43,MATCH(C800,Employees!$B$4:$B$43,0)),0))</f>
        <v/>
      </c>
      <c r="L800" s="28"/>
    </row>
    <row r="801" customFormat="false" ht="15" hidden="false" customHeight="false" outlineLevel="0" collapsed="false">
      <c r="A801" s="26"/>
      <c r="B801" s="27" t="str">
        <f aca="false">IF(A801="","",A801+7-WEEKDAY(A801,1)+1)</f>
        <v/>
      </c>
      <c r="C801" s="28"/>
      <c r="D801" s="29"/>
      <c r="E801" s="28"/>
      <c r="F801" s="28"/>
      <c r="G801" s="30"/>
      <c r="H801" s="31" t="str">
        <f aca="false">IF(E801="","",IFERROR(INDEX(Lists!$C$2:$C$86,MATCH(E801,Lists!$A$2:$A$86,0)),"?"))</f>
        <v/>
      </c>
      <c r="I801" s="32" t="str">
        <f aca="false">IF(OR(C801="",E801=""),"",IF(H801="Yes",IFERROR(INDEX(Employees!$E$4:$E$43,MATCH(C801,Employees!$B$4:$B$43,0)),0),0))</f>
        <v/>
      </c>
      <c r="J801" s="33" t="str">
        <f aca="false">IF(G801="","",IF(H801="Yes",G801*I801,0))</f>
        <v/>
      </c>
      <c r="K801" s="33" t="str">
        <f aca="false">IF(OR(C801="",G801=""),"",G801*IFERROR(INDEX(Employees!$F$4:$F$43,MATCH(C801,Employees!$B$4:$B$43,0)),0))</f>
        <v/>
      </c>
      <c r="L801" s="28"/>
    </row>
    <row r="802" customFormat="false" ht="15" hidden="false" customHeight="false" outlineLevel="0" collapsed="false">
      <c r="A802" s="26"/>
      <c r="B802" s="19" t="str">
        <f aca="false">IF(A802="","",A802+7-WEEKDAY(A802,1)+1)</f>
        <v/>
      </c>
      <c r="C802" s="28"/>
      <c r="D802" s="29"/>
      <c r="E802" s="28"/>
      <c r="F802" s="28"/>
      <c r="G802" s="30"/>
      <c r="H802" s="23" t="str">
        <f aca="false">IF(E802="","",IFERROR(INDEX(Lists!$C$2:$C$86,MATCH(E802,Lists!$A$2:$A$86,0)),"?"))</f>
        <v/>
      </c>
      <c r="I802" s="24" t="str">
        <f aca="false">IF(OR(C802="",E802=""),"",IF(H802="Yes",IFERROR(INDEX(Employees!$E$4:$E$43,MATCH(C802,Employees!$B$4:$B$43,0)),0),0))</f>
        <v/>
      </c>
      <c r="J802" s="25" t="str">
        <f aca="false">IF(G802="","",IF(H802="Yes",G802*I802,0))</f>
        <v/>
      </c>
      <c r="K802" s="25" t="str">
        <f aca="false">IF(OR(C802="",G802=""),"",G802*IFERROR(INDEX(Employees!$F$4:$F$43,MATCH(C802,Employees!$B$4:$B$43,0)),0))</f>
        <v/>
      </c>
      <c r="L802" s="28"/>
    </row>
    <row r="803" customFormat="false" ht="15" hidden="false" customHeight="false" outlineLevel="0" collapsed="false">
      <c r="A803" s="26"/>
      <c r="B803" s="27" t="str">
        <f aca="false">IF(A803="","",A803+7-WEEKDAY(A803,1)+1)</f>
        <v/>
      </c>
      <c r="C803" s="28"/>
      <c r="D803" s="29"/>
      <c r="E803" s="28"/>
      <c r="F803" s="28"/>
      <c r="G803" s="30"/>
      <c r="H803" s="31" t="str">
        <f aca="false">IF(E803="","",IFERROR(INDEX(Lists!$C$2:$C$86,MATCH(E803,Lists!$A$2:$A$86,0)),"?"))</f>
        <v/>
      </c>
      <c r="I803" s="32" t="str">
        <f aca="false">IF(OR(C803="",E803=""),"",IF(H803="Yes",IFERROR(INDEX(Employees!$E$4:$E$43,MATCH(C803,Employees!$B$4:$B$43,0)),0),0))</f>
        <v/>
      </c>
      <c r="J803" s="33" t="str">
        <f aca="false">IF(G803="","",IF(H803="Yes",G803*I803,0))</f>
        <v/>
      </c>
      <c r="K803" s="33" t="str">
        <f aca="false">IF(OR(C803="",G803=""),"",G803*IFERROR(INDEX(Employees!$F$4:$F$43,MATCH(C803,Employees!$B$4:$B$43,0)),0))</f>
        <v/>
      </c>
      <c r="L803" s="28"/>
    </row>
    <row r="804" customFormat="false" ht="15" hidden="false" customHeight="false" outlineLevel="0" collapsed="false">
      <c r="A804" s="26"/>
      <c r="B804" s="19" t="str">
        <f aca="false">IF(A804="","",A804+7-WEEKDAY(A804,1)+1)</f>
        <v/>
      </c>
      <c r="C804" s="28"/>
      <c r="D804" s="29"/>
      <c r="E804" s="28"/>
      <c r="F804" s="28"/>
      <c r="G804" s="30"/>
      <c r="H804" s="23" t="str">
        <f aca="false">IF(E804="","",IFERROR(INDEX(Lists!$C$2:$C$86,MATCH(E804,Lists!$A$2:$A$86,0)),"?"))</f>
        <v/>
      </c>
      <c r="I804" s="24" t="str">
        <f aca="false">IF(OR(C804="",E804=""),"",IF(H804="Yes",IFERROR(INDEX(Employees!$E$4:$E$43,MATCH(C804,Employees!$B$4:$B$43,0)),0),0))</f>
        <v/>
      </c>
      <c r="J804" s="25" t="str">
        <f aca="false">IF(G804="","",IF(H804="Yes",G804*I804,0))</f>
        <v/>
      </c>
      <c r="K804" s="25" t="str">
        <f aca="false">IF(OR(C804="",G804=""),"",G804*IFERROR(INDEX(Employees!$F$4:$F$43,MATCH(C804,Employees!$B$4:$B$43,0)),0))</f>
        <v/>
      </c>
      <c r="L804" s="28"/>
    </row>
    <row r="805" customFormat="false" ht="15" hidden="false" customHeight="false" outlineLevel="0" collapsed="false">
      <c r="A805" s="26"/>
      <c r="B805" s="27" t="str">
        <f aca="false">IF(A805="","",A805+7-WEEKDAY(A805,1)+1)</f>
        <v/>
      </c>
      <c r="C805" s="28"/>
      <c r="D805" s="29"/>
      <c r="E805" s="28"/>
      <c r="F805" s="28"/>
      <c r="G805" s="30"/>
      <c r="H805" s="31" t="str">
        <f aca="false">IF(E805="","",IFERROR(INDEX(Lists!$C$2:$C$86,MATCH(E805,Lists!$A$2:$A$86,0)),"?"))</f>
        <v/>
      </c>
      <c r="I805" s="32" t="str">
        <f aca="false">IF(OR(C805="",E805=""),"",IF(H805="Yes",IFERROR(INDEX(Employees!$E$4:$E$43,MATCH(C805,Employees!$B$4:$B$43,0)),0),0))</f>
        <v/>
      </c>
      <c r="J805" s="33" t="str">
        <f aca="false">IF(G805="","",IF(H805="Yes",G805*I805,0))</f>
        <v/>
      </c>
      <c r="K805" s="33" t="str">
        <f aca="false">IF(OR(C805="",G805=""),"",G805*IFERROR(INDEX(Employees!$F$4:$F$43,MATCH(C805,Employees!$B$4:$B$43,0)),0))</f>
        <v/>
      </c>
      <c r="L805" s="28"/>
    </row>
    <row r="806" customFormat="false" ht="15" hidden="false" customHeight="false" outlineLevel="0" collapsed="false">
      <c r="A806" s="26"/>
      <c r="B806" s="19" t="str">
        <f aca="false">IF(A806="","",A806+7-WEEKDAY(A806,1)+1)</f>
        <v/>
      </c>
      <c r="C806" s="28"/>
      <c r="D806" s="29"/>
      <c r="E806" s="28"/>
      <c r="F806" s="28"/>
      <c r="G806" s="30"/>
      <c r="H806" s="23" t="str">
        <f aca="false">IF(E806="","",IFERROR(INDEX(Lists!$C$2:$C$86,MATCH(E806,Lists!$A$2:$A$86,0)),"?"))</f>
        <v/>
      </c>
      <c r="I806" s="24" t="str">
        <f aca="false">IF(OR(C806="",E806=""),"",IF(H806="Yes",IFERROR(INDEX(Employees!$E$4:$E$43,MATCH(C806,Employees!$B$4:$B$43,0)),0),0))</f>
        <v/>
      </c>
      <c r="J806" s="25" t="str">
        <f aca="false">IF(G806="","",IF(H806="Yes",G806*I806,0))</f>
        <v/>
      </c>
      <c r="K806" s="25" t="str">
        <f aca="false">IF(OR(C806="",G806=""),"",G806*IFERROR(INDEX(Employees!$F$4:$F$43,MATCH(C806,Employees!$B$4:$B$43,0)),0))</f>
        <v/>
      </c>
      <c r="L806" s="28"/>
    </row>
    <row r="807" customFormat="false" ht="15" hidden="false" customHeight="false" outlineLevel="0" collapsed="false">
      <c r="A807" s="26"/>
      <c r="B807" s="27" t="str">
        <f aca="false">IF(A807="","",A807+7-WEEKDAY(A807,1)+1)</f>
        <v/>
      </c>
      <c r="C807" s="28"/>
      <c r="D807" s="29"/>
      <c r="E807" s="28"/>
      <c r="F807" s="28"/>
      <c r="G807" s="30"/>
      <c r="H807" s="31" t="str">
        <f aca="false">IF(E807="","",IFERROR(INDEX(Lists!$C$2:$C$86,MATCH(E807,Lists!$A$2:$A$86,0)),"?"))</f>
        <v/>
      </c>
      <c r="I807" s="32" t="str">
        <f aca="false">IF(OR(C807="",E807=""),"",IF(H807="Yes",IFERROR(INDEX(Employees!$E$4:$E$43,MATCH(C807,Employees!$B$4:$B$43,0)),0),0))</f>
        <v/>
      </c>
      <c r="J807" s="33" t="str">
        <f aca="false">IF(G807="","",IF(H807="Yes",G807*I807,0))</f>
        <v/>
      </c>
      <c r="K807" s="33" t="str">
        <f aca="false">IF(OR(C807="",G807=""),"",G807*IFERROR(INDEX(Employees!$F$4:$F$43,MATCH(C807,Employees!$B$4:$B$43,0)),0))</f>
        <v/>
      </c>
      <c r="L807" s="28"/>
    </row>
    <row r="808" customFormat="false" ht="15" hidden="false" customHeight="false" outlineLevel="0" collapsed="false">
      <c r="A808" s="26"/>
      <c r="B808" s="19" t="str">
        <f aca="false">IF(A808="","",A808+7-WEEKDAY(A808,1)+1)</f>
        <v/>
      </c>
      <c r="C808" s="28"/>
      <c r="D808" s="29"/>
      <c r="E808" s="28"/>
      <c r="F808" s="28"/>
      <c r="G808" s="30"/>
      <c r="H808" s="23" t="str">
        <f aca="false">IF(E808="","",IFERROR(INDEX(Lists!$C$2:$C$86,MATCH(E808,Lists!$A$2:$A$86,0)),"?"))</f>
        <v/>
      </c>
      <c r="I808" s="24" t="str">
        <f aca="false">IF(OR(C808="",E808=""),"",IF(H808="Yes",IFERROR(INDEX(Employees!$E$4:$E$43,MATCH(C808,Employees!$B$4:$B$43,0)),0),0))</f>
        <v/>
      </c>
      <c r="J808" s="25" t="str">
        <f aca="false">IF(G808="","",IF(H808="Yes",G808*I808,0))</f>
        <v/>
      </c>
      <c r="K808" s="25" t="str">
        <f aca="false">IF(OR(C808="",G808=""),"",G808*IFERROR(INDEX(Employees!$F$4:$F$43,MATCH(C808,Employees!$B$4:$B$43,0)),0))</f>
        <v/>
      </c>
      <c r="L808" s="28"/>
    </row>
    <row r="809" customFormat="false" ht="15" hidden="false" customHeight="false" outlineLevel="0" collapsed="false">
      <c r="A809" s="26"/>
      <c r="B809" s="27" t="str">
        <f aca="false">IF(A809="","",A809+7-WEEKDAY(A809,1)+1)</f>
        <v/>
      </c>
      <c r="C809" s="28"/>
      <c r="D809" s="29"/>
      <c r="E809" s="28"/>
      <c r="F809" s="28"/>
      <c r="G809" s="30"/>
      <c r="H809" s="31" t="str">
        <f aca="false">IF(E809="","",IFERROR(INDEX(Lists!$C$2:$C$86,MATCH(E809,Lists!$A$2:$A$86,0)),"?"))</f>
        <v/>
      </c>
      <c r="I809" s="32" t="str">
        <f aca="false">IF(OR(C809="",E809=""),"",IF(H809="Yes",IFERROR(INDEX(Employees!$E$4:$E$43,MATCH(C809,Employees!$B$4:$B$43,0)),0),0))</f>
        <v/>
      </c>
      <c r="J809" s="33" t="str">
        <f aca="false">IF(G809="","",IF(H809="Yes",G809*I809,0))</f>
        <v/>
      </c>
      <c r="K809" s="33" t="str">
        <f aca="false">IF(OR(C809="",G809=""),"",G809*IFERROR(INDEX(Employees!$F$4:$F$43,MATCH(C809,Employees!$B$4:$B$43,0)),0))</f>
        <v/>
      </c>
      <c r="L809" s="28"/>
    </row>
    <row r="810" customFormat="false" ht="15" hidden="false" customHeight="false" outlineLevel="0" collapsed="false">
      <c r="A810" s="26"/>
      <c r="B810" s="19" t="str">
        <f aca="false">IF(A810="","",A810+7-WEEKDAY(A810,1)+1)</f>
        <v/>
      </c>
      <c r="C810" s="28"/>
      <c r="D810" s="29"/>
      <c r="E810" s="28"/>
      <c r="F810" s="28"/>
      <c r="G810" s="30"/>
      <c r="H810" s="23" t="str">
        <f aca="false">IF(E810="","",IFERROR(INDEX(Lists!$C$2:$C$86,MATCH(E810,Lists!$A$2:$A$86,0)),"?"))</f>
        <v/>
      </c>
      <c r="I810" s="24" t="str">
        <f aca="false">IF(OR(C810="",E810=""),"",IF(H810="Yes",IFERROR(INDEX(Employees!$E$4:$E$43,MATCH(C810,Employees!$B$4:$B$43,0)),0),0))</f>
        <v/>
      </c>
      <c r="J810" s="25" t="str">
        <f aca="false">IF(G810="","",IF(H810="Yes",G810*I810,0))</f>
        <v/>
      </c>
      <c r="K810" s="25" t="str">
        <f aca="false">IF(OR(C810="",G810=""),"",G810*IFERROR(INDEX(Employees!$F$4:$F$43,MATCH(C810,Employees!$B$4:$B$43,0)),0))</f>
        <v/>
      </c>
      <c r="L810" s="28"/>
    </row>
    <row r="811" customFormat="false" ht="15" hidden="false" customHeight="false" outlineLevel="0" collapsed="false">
      <c r="A811" s="26"/>
      <c r="B811" s="27" t="str">
        <f aca="false">IF(A811="","",A811+7-WEEKDAY(A811,1)+1)</f>
        <v/>
      </c>
      <c r="C811" s="28"/>
      <c r="D811" s="29"/>
      <c r="E811" s="28"/>
      <c r="F811" s="28"/>
      <c r="G811" s="30"/>
      <c r="H811" s="31" t="str">
        <f aca="false">IF(E811="","",IFERROR(INDEX(Lists!$C$2:$C$86,MATCH(E811,Lists!$A$2:$A$86,0)),"?"))</f>
        <v/>
      </c>
      <c r="I811" s="32" t="str">
        <f aca="false">IF(OR(C811="",E811=""),"",IF(H811="Yes",IFERROR(INDEX(Employees!$E$4:$E$43,MATCH(C811,Employees!$B$4:$B$43,0)),0),0))</f>
        <v/>
      </c>
      <c r="J811" s="33" t="str">
        <f aca="false">IF(G811="","",IF(H811="Yes",G811*I811,0))</f>
        <v/>
      </c>
      <c r="K811" s="33" t="str">
        <f aca="false">IF(OR(C811="",G811=""),"",G811*IFERROR(INDEX(Employees!$F$4:$F$43,MATCH(C811,Employees!$B$4:$B$43,0)),0))</f>
        <v/>
      </c>
      <c r="L811" s="28"/>
    </row>
    <row r="812" customFormat="false" ht="15" hidden="false" customHeight="false" outlineLevel="0" collapsed="false">
      <c r="A812" s="26"/>
      <c r="B812" s="19" t="str">
        <f aca="false">IF(A812="","",A812+7-WEEKDAY(A812,1)+1)</f>
        <v/>
      </c>
      <c r="C812" s="28"/>
      <c r="D812" s="29"/>
      <c r="E812" s="28"/>
      <c r="F812" s="28"/>
      <c r="G812" s="30"/>
      <c r="H812" s="23" t="str">
        <f aca="false">IF(E812="","",IFERROR(INDEX(Lists!$C$2:$C$86,MATCH(E812,Lists!$A$2:$A$86,0)),"?"))</f>
        <v/>
      </c>
      <c r="I812" s="24" t="str">
        <f aca="false">IF(OR(C812="",E812=""),"",IF(H812="Yes",IFERROR(INDEX(Employees!$E$4:$E$43,MATCH(C812,Employees!$B$4:$B$43,0)),0),0))</f>
        <v/>
      </c>
      <c r="J812" s="25" t="str">
        <f aca="false">IF(G812="","",IF(H812="Yes",G812*I812,0))</f>
        <v/>
      </c>
      <c r="K812" s="25" t="str">
        <f aca="false">IF(OR(C812="",G812=""),"",G812*IFERROR(INDEX(Employees!$F$4:$F$43,MATCH(C812,Employees!$B$4:$B$43,0)),0))</f>
        <v/>
      </c>
      <c r="L812" s="28"/>
    </row>
    <row r="813" customFormat="false" ht="15" hidden="false" customHeight="false" outlineLevel="0" collapsed="false">
      <c r="A813" s="26"/>
      <c r="B813" s="27" t="str">
        <f aca="false">IF(A813="","",A813+7-WEEKDAY(A813,1)+1)</f>
        <v/>
      </c>
      <c r="C813" s="28"/>
      <c r="D813" s="29"/>
      <c r="E813" s="28"/>
      <c r="F813" s="28"/>
      <c r="G813" s="30"/>
      <c r="H813" s="31" t="str">
        <f aca="false">IF(E813="","",IFERROR(INDEX(Lists!$C$2:$C$86,MATCH(E813,Lists!$A$2:$A$86,0)),"?"))</f>
        <v/>
      </c>
      <c r="I813" s="32" t="str">
        <f aca="false">IF(OR(C813="",E813=""),"",IF(H813="Yes",IFERROR(INDEX(Employees!$E$4:$E$43,MATCH(C813,Employees!$B$4:$B$43,0)),0),0))</f>
        <v/>
      </c>
      <c r="J813" s="33" t="str">
        <f aca="false">IF(G813="","",IF(H813="Yes",G813*I813,0))</f>
        <v/>
      </c>
      <c r="K813" s="33" t="str">
        <f aca="false">IF(OR(C813="",G813=""),"",G813*IFERROR(INDEX(Employees!$F$4:$F$43,MATCH(C813,Employees!$B$4:$B$43,0)),0))</f>
        <v/>
      </c>
      <c r="L813" s="28"/>
    </row>
    <row r="814" customFormat="false" ht="15" hidden="false" customHeight="false" outlineLevel="0" collapsed="false">
      <c r="A814" s="26"/>
      <c r="B814" s="19" t="str">
        <f aca="false">IF(A814="","",A814+7-WEEKDAY(A814,1)+1)</f>
        <v/>
      </c>
      <c r="C814" s="28"/>
      <c r="D814" s="29"/>
      <c r="E814" s="28"/>
      <c r="F814" s="28"/>
      <c r="G814" s="30"/>
      <c r="H814" s="23" t="str">
        <f aca="false">IF(E814="","",IFERROR(INDEX(Lists!$C$2:$C$86,MATCH(E814,Lists!$A$2:$A$86,0)),"?"))</f>
        <v/>
      </c>
      <c r="I814" s="24" t="str">
        <f aca="false">IF(OR(C814="",E814=""),"",IF(H814="Yes",IFERROR(INDEX(Employees!$E$4:$E$43,MATCH(C814,Employees!$B$4:$B$43,0)),0),0))</f>
        <v/>
      </c>
      <c r="J814" s="25" t="str">
        <f aca="false">IF(G814="","",IF(H814="Yes",G814*I814,0))</f>
        <v/>
      </c>
      <c r="K814" s="25" t="str">
        <f aca="false">IF(OR(C814="",G814=""),"",G814*IFERROR(INDEX(Employees!$F$4:$F$43,MATCH(C814,Employees!$B$4:$B$43,0)),0))</f>
        <v/>
      </c>
      <c r="L814" s="28"/>
    </row>
    <row r="815" customFormat="false" ht="15" hidden="false" customHeight="false" outlineLevel="0" collapsed="false">
      <c r="A815" s="26"/>
      <c r="B815" s="27" t="str">
        <f aca="false">IF(A815="","",A815+7-WEEKDAY(A815,1)+1)</f>
        <v/>
      </c>
      <c r="C815" s="28"/>
      <c r="D815" s="29"/>
      <c r="E815" s="28"/>
      <c r="F815" s="28"/>
      <c r="G815" s="30"/>
      <c r="H815" s="31" t="str">
        <f aca="false">IF(E815="","",IFERROR(INDEX(Lists!$C$2:$C$86,MATCH(E815,Lists!$A$2:$A$86,0)),"?"))</f>
        <v/>
      </c>
      <c r="I815" s="32" t="str">
        <f aca="false">IF(OR(C815="",E815=""),"",IF(H815="Yes",IFERROR(INDEX(Employees!$E$4:$E$43,MATCH(C815,Employees!$B$4:$B$43,0)),0),0))</f>
        <v/>
      </c>
      <c r="J815" s="33" t="str">
        <f aca="false">IF(G815="","",IF(H815="Yes",G815*I815,0))</f>
        <v/>
      </c>
      <c r="K815" s="33" t="str">
        <f aca="false">IF(OR(C815="",G815=""),"",G815*IFERROR(INDEX(Employees!$F$4:$F$43,MATCH(C815,Employees!$B$4:$B$43,0)),0))</f>
        <v/>
      </c>
      <c r="L815" s="28"/>
    </row>
    <row r="816" customFormat="false" ht="15" hidden="false" customHeight="false" outlineLevel="0" collapsed="false">
      <c r="A816" s="26"/>
      <c r="B816" s="19" t="str">
        <f aca="false">IF(A816="","",A816+7-WEEKDAY(A816,1)+1)</f>
        <v/>
      </c>
      <c r="C816" s="28"/>
      <c r="D816" s="29"/>
      <c r="E816" s="28"/>
      <c r="F816" s="28"/>
      <c r="G816" s="30"/>
      <c r="H816" s="23" t="str">
        <f aca="false">IF(E816="","",IFERROR(INDEX(Lists!$C$2:$C$86,MATCH(E816,Lists!$A$2:$A$86,0)),"?"))</f>
        <v/>
      </c>
      <c r="I816" s="24" t="str">
        <f aca="false">IF(OR(C816="",E816=""),"",IF(H816="Yes",IFERROR(INDEX(Employees!$E$4:$E$43,MATCH(C816,Employees!$B$4:$B$43,0)),0),0))</f>
        <v/>
      </c>
      <c r="J816" s="25" t="str">
        <f aca="false">IF(G816="","",IF(H816="Yes",G816*I816,0))</f>
        <v/>
      </c>
      <c r="K816" s="25" t="str">
        <f aca="false">IF(OR(C816="",G816=""),"",G816*IFERROR(INDEX(Employees!$F$4:$F$43,MATCH(C816,Employees!$B$4:$B$43,0)),0))</f>
        <v/>
      </c>
      <c r="L816" s="28"/>
    </row>
    <row r="817" customFormat="false" ht="15" hidden="false" customHeight="false" outlineLevel="0" collapsed="false">
      <c r="A817" s="26"/>
      <c r="B817" s="27" t="str">
        <f aca="false">IF(A817="","",A817+7-WEEKDAY(A817,1)+1)</f>
        <v/>
      </c>
      <c r="C817" s="28"/>
      <c r="D817" s="29"/>
      <c r="E817" s="28"/>
      <c r="F817" s="28"/>
      <c r="G817" s="30"/>
      <c r="H817" s="31" t="str">
        <f aca="false">IF(E817="","",IFERROR(INDEX(Lists!$C$2:$C$86,MATCH(E817,Lists!$A$2:$A$86,0)),"?"))</f>
        <v/>
      </c>
      <c r="I817" s="32" t="str">
        <f aca="false">IF(OR(C817="",E817=""),"",IF(H817="Yes",IFERROR(INDEX(Employees!$E$4:$E$43,MATCH(C817,Employees!$B$4:$B$43,0)),0),0))</f>
        <v/>
      </c>
      <c r="J817" s="33" t="str">
        <f aca="false">IF(G817="","",IF(H817="Yes",G817*I817,0))</f>
        <v/>
      </c>
      <c r="K817" s="33" t="str">
        <f aca="false">IF(OR(C817="",G817=""),"",G817*IFERROR(INDEX(Employees!$F$4:$F$43,MATCH(C817,Employees!$B$4:$B$43,0)),0))</f>
        <v/>
      </c>
      <c r="L817" s="28"/>
    </row>
    <row r="818" customFormat="false" ht="15" hidden="false" customHeight="false" outlineLevel="0" collapsed="false">
      <c r="A818" s="26"/>
      <c r="B818" s="19" t="str">
        <f aca="false">IF(A818="","",A818+7-WEEKDAY(A818,1)+1)</f>
        <v/>
      </c>
      <c r="C818" s="28"/>
      <c r="D818" s="29"/>
      <c r="E818" s="28"/>
      <c r="F818" s="28"/>
      <c r="G818" s="30"/>
      <c r="H818" s="23" t="str">
        <f aca="false">IF(E818="","",IFERROR(INDEX(Lists!$C$2:$C$86,MATCH(E818,Lists!$A$2:$A$86,0)),"?"))</f>
        <v/>
      </c>
      <c r="I818" s="24" t="str">
        <f aca="false">IF(OR(C818="",E818=""),"",IF(H818="Yes",IFERROR(INDEX(Employees!$E$4:$E$43,MATCH(C818,Employees!$B$4:$B$43,0)),0),0))</f>
        <v/>
      </c>
      <c r="J818" s="25" t="str">
        <f aca="false">IF(G818="","",IF(H818="Yes",G818*I818,0))</f>
        <v/>
      </c>
      <c r="K818" s="25" t="str">
        <f aca="false">IF(OR(C818="",G818=""),"",G818*IFERROR(INDEX(Employees!$F$4:$F$43,MATCH(C818,Employees!$B$4:$B$43,0)),0))</f>
        <v/>
      </c>
      <c r="L818" s="28"/>
    </row>
    <row r="819" customFormat="false" ht="15" hidden="false" customHeight="false" outlineLevel="0" collapsed="false">
      <c r="A819" s="26"/>
      <c r="B819" s="27" t="str">
        <f aca="false">IF(A819="","",A819+7-WEEKDAY(A819,1)+1)</f>
        <v/>
      </c>
      <c r="C819" s="28"/>
      <c r="D819" s="29"/>
      <c r="E819" s="28"/>
      <c r="F819" s="28"/>
      <c r="G819" s="30"/>
      <c r="H819" s="31" t="str">
        <f aca="false">IF(E819="","",IFERROR(INDEX(Lists!$C$2:$C$86,MATCH(E819,Lists!$A$2:$A$86,0)),"?"))</f>
        <v/>
      </c>
      <c r="I819" s="32" t="str">
        <f aca="false">IF(OR(C819="",E819=""),"",IF(H819="Yes",IFERROR(INDEX(Employees!$E$4:$E$43,MATCH(C819,Employees!$B$4:$B$43,0)),0),0))</f>
        <v/>
      </c>
      <c r="J819" s="33" t="str">
        <f aca="false">IF(G819="","",IF(H819="Yes",G819*I819,0))</f>
        <v/>
      </c>
      <c r="K819" s="33" t="str">
        <f aca="false">IF(OR(C819="",G819=""),"",G819*IFERROR(INDEX(Employees!$F$4:$F$43,MATCH(C819,Employees!$B$4:$B$43,0)),0))</f>
        <v/>
      </c>
      <c r="L819" s="28"/>
    </row>
    <row r="820" customFormat="false" ht="15" hidden="false" customHeight="false" outlineLevel="0" collapsed="false">
      <c r="A820" s="26"/>
      <c r="B820" s="19" t="str">
        <f aca="false">IF(A820="","",A820+7-WEEKDAY(A820,1)+1)</f>
        <v/>
      </c>
      <c r="C820" s="28"/>
      <c r="D820" s="29"/>
      <c r="E820" s="28"/>
      <c r="F820" s="28"/>
      <c r="G820" s="30"/>
      <c r="H820" s="23" t="str">
        <f aca="false">IF(E820="","",IFERROR(INDEX(Lists!$C$2:$C$86,MATCH(E820,Lists!$A$2:$A$86,0)),"?"))</f>
        <v/>
      </c>
      <c r="I820" s="24" t="str">
        <f aca="false">IF(OR(C820="",E820=""),"",IF(H820="Yes",IFERROR(INDEX(Employees!$E$4:$E$43,MATCH(C820,Employees!$B$4:$B$43,0)),0),0))</f>
        <v/>
      </c>
      <c r="J820" s="25" t="str">
        <f aca="false">IF(G820="","",IF(H820="Yes",G820*I820,0))</f>
        <v/>
      </c>
      <c r="K820" s="25" t="str">
        <f aca="false">IF(OR(C820="",G820=""),"",G820*IFERROR(INDEX(Employees!$F$4:$F$43,MATCH(C820,Employees!$B$4:$B$43,0)),0))</f>
        <v/>
      </c>
      <c r="L820" s="28"/>
    </row>
    <row r="821" customFormat="false" ht="15" hidden="false" customHeight="false" outlineLevel="0" collapsed="false">
      <c r="A821" s="26"/>
      <c r="B821" s="27" t="str">
        <f aca="false">IF(A821="","",A821+7-WEEKDAY(A821,1)+1)</f>
        <v/>
      </c>
      <c r="C821" s="28"/>
      <c r="D821" s="29"/>
      <c r="E821" s="28"/>
      <c r="F821" s="28"/>
      <c r="G821" s="30"/>
      <c r="H821" s="31" t="str">
        <f aca="false">IF(E821="","",IFERROR(INDEX(Lists!$C$2:$C$86,MATCH(E821,Lists!$A$2:$A$86,0)),"?"))</f>
        <v/>
      </c>
      <c r="I821" s="32" t="str">
        <f aca="false">IF(OR(C821="",E821=""),"",IF(H821="Yes",IFERROR(INDEX(Employees!$E$4:$E$43,MATCH(C821,Employees!$B$4:$B$43,0)),0),0))</f>
        <v/>
      </c>
      <c r="J821" s="33" t="str">
        <f aca="false">IF(G821="","",IF(H821="Yes",G821*I821,0))</f>
        <v/>
      </c>
      <c r="K821" s="33" t="str">
        <f aca="false">IF(OR(C821="",G821=""),"",G821*IFERROR(INDEX(Employees!$F$4:$F$43,MATCH(C821,Employees!$B$4:$B$43,0)),0))</f>
        <v/>
      </c>
      <c r="L821" s="28"/>
    </row>
    <row r="822" customFormat="false" ht="15" hidden="false" customHeight="false" outlineLevel="0" collapsed="false">
      <c r="A822" s="26"/>
      <c r="B822" s="19" t="str">
        <f aca="false">IF(A822="","",A822+7-WEEKDAY(A822,1)+1)</f>
        <v/>
      </c>
      <c r="C822" s="28"/>
      <c r="D822" s="29"/>
      <c r="E822" s="28"/>
      <c r="F822" s="28"/>
      <c r="G822" s="30"/>
      <c r="H822" s="23" t="str">
        <f aca="false">IF(E822="","",IFERROR(INDEX(Lists!$C$2:$C$86,MATCH(E822,Lists!$A$2:$A$86,0)),"?"))</f>
        <v/>
      </c>
      <c r="I822" s="24" t="str">
        <f aca="false">IF(OR(C822="",E822=""),"",IF(H822="Yes",IFERROR(INDEX(Employees!$E$4:$E$43,MATCH(C822,Employees!$B$4:$B$43,0)),0),0))</f>
        <v/>
      </c>
      <c r="J822" s="25" t="str">
        <f aca="false">IF(G822="","",IF(H822="Yes",G822*I822,0))</f>
        <v/>
      </c>
      <c r="K822" s="25" t="str">
        <f aca="false">IF(OR(C822="",G822=""),"",G822*IFERROR(INDEX(Employees!$F$4:$F$43,MATCH(C822,Employees!$B$4:$B$43,0)),0))</f>
        <v/>
      </c>
      <c r="L822" s="28"/>
    </row>
    <row r="823" customFormat="false" ht="15" hidden="false" customHeight="false" outlineLevel="0" collapsed="false">
      <c r="A823" s="26"/>
      <c r="B823" s="27" t="str">
        <f aca="false">IF(A823="","",A823+7-WEEKDAY(A823,1)+1)</f>
        <v/>
      </c>
      <c r="C823" s="28"/>
      <c r="D823" s="29"/>
      <c r="E823" s="28"/>
      <c r="F823" s="28"/>
      <c r="G823" s="30"/>
      <c r="H823" s="31" t="str">
        <f aca="false">IF(E823="","",IFERROR(INDEX(Lists!$C$2:$C$86,MATCH(E823,Lists!$A$2:$A$86,0)),"?"))</f>
        <v/>
      </c>
      <c r="I823" s="32" t="str">
        <f aca="false">IF(OR(C823="",E823=""),"",IF(H823="Yes",IFERROR(INDEX(Employees!$E$4:$E$43,MATCH(C823,Employees!$B$4:$B$43,0)),0),0))</f>
        <v/>
      </c>
      <c r="J823" s="33" t="str">
        <f aca="false">IF(G823="","",IF(H823="Yes",G823*I823,0))</f>
        <v/>
      </c>
      <c r="K823" s="33" t="str">
        <f aca="false">IF(OR(C823="",G823=""),"",G823*IFERROR(INDEX(Employees!$F$4:$F$43,MATCH(C823,Employees!$B$4:$B$43,0)),0))</f>
        <v/>
      </c>
      <c r="L823" s="28"/>
    </row>
    <row r="824" customFormat="false" ht="15" hidden="false" customHeight="false" outlineLevel="0" collapsed="false">
      <c r="A824" s="26"/>
      <c r="B824" s="19" t="str">
        <f aca="false">IF(A824="","",A824+7-WEEKDAY(A824,1)+1)</f>
        <v/>
      </c>
      <c r="C824" s="28"/>
      <c r="D824" s="29"/>
      <c r="E824" s="28"/>
      <c r="F824" s="28"/>
      <c r="G824" s="30"/>
      <c r="H824" s="23" t="str">
        <f aca="false">IF(E824="","",IFERROR(INDEX(Lists!$C$2:$C$86,MATCH(E824,Lists!$A$2:$A$86,0)),"?"))</f>
        <v/>
      </c>
      <c r="I824" s="24" t="str">
        <f aca="false">IF(OR(C824="",E824=""),"",IF(H824="Yes",IFERROR(INDEX(Employees!$E$4:$E$43,MATCH(C824,Employees!$B$4:$B$43,0)),0),0))</f>
        <v/>
      </c>
      <c r="J824" s="25" t="str">
        <f aca="false">IF(G824="","",IF(H824="Yes",G824*I824,0))</f>
        <v/>
      </c>
      <c r="K824" s="25" t="str">
        <f aca="false">IF(OR(C824="",G824=""),"",G824*IFERROR(INDEX(Employees!$F$4:$F$43,MATCH(C824,Employees!$B$4:$B$43,0)),0))</f>
        <v/>
      </c>
      <c r="L824" s="28"/>
    </row>
    <row r="825" customFormat="false" ht="15" hidden="false" customHeight="false" outlineLevel="0" collapsed="false">
      <c r="A825" s="26"/>
      <c r="B825" s="27" t="str">
        <f aca="false">IF(A825="","",A825+7-WEEKDAY(A825,1)+1)</f>
        <v/>
      </c>
      <c r="C825" s="28"/>
      <c r="D825" s="29"/>
      <c r="E825" s="28"/>
      <c r="F825" s="28"/>
      <c r="G825" s="30"/>
      <c r="H825" s="31" t="str">
        <f aca="false">IF(E825="","",IFERROR(INDEX(Lists!$C$2:$C$86,MATCH(E825,Lists!$A$2:$A$86,0)),"?"))</f>
        <v/>
      </c>
      <c r="I825" s="32" t="str">
        <f aca="false">IF(OR(C825="",E825=""),"",IF(H825="Yes",IFERROR(INDEX(Employees!$E$4:$E$43,MATCH(C825,Employees!$B$4:$B$43,0)),0),0))</f>
        <v/>
      </c>
      <c r="J825" s="33" t="str">
        <f aca="false">IF(G825="","",IF(H825="Yes",G825*I825,0))</f>
        <v/>
      </c>
      <c r="K825" s="33" t="str">
        <f aca="false">IF(OR(C825="",G825=""),"",G825*IFERROR(INDEX(Employees!$F$4:$F$43,MATCH(C825,Employees!$B$4:$B$43,0)),0))</f>
        <v/>
      </c>
      <c r="L825" s="28"/>
    </row>
    <row r="826" customFormat="false" ht="15" hidden="false" customHeight="false" outlineLevel="0" collapsed="false">
      <c r="A826" s="26"/>
      <c r="B826" s="19" t="str">
        <f aca="false">IF(A826="","",A826+7-WEEKDAY(A826,1)+1)</f>
        <v/>
      </c>
      <c r="C826" s="28"/>
      <c r="D826" s="29"/>
      <c r="E826" s="28"/>
      <c r="F826" s="28"/>
      <c r="G826" s="30"/>
      <c r="H826" s="23" t="str">
        <f aca="false">IF(E826="","",IFERROR(INDEX(Lists!$C$2:$C$86,MATCH(E826,Lists!$A$2:$A$86,0)),"?"))</f>
        <v/>
      </c>
      <c r="I826" s="24" t="str">
        <f aca="false">IF(OR(C826="",E826=""),"",IF(H826="Yes",IFERROR(INDEX(Employees!$E$4:$E$43,MATCH(C826,Employees!$B$4:$B$43,0)),0),0))</f>
        <v/>
      </c>
      <c r="J826" s="25" t="str">
        <f aca="false">IF(G826="","",IF(H826="Yes",G826*I826,0))</f>
        <v/>
      </c>
      <c r="K826" s="25" t="str">
        <f aca="false">IF(OR(C826="",G826=""),"",G826*IFERROR(INDEX(Employees!$F$4:$F$43,MATCH(C826,Employees!$B$4:$B$43,0)),0))</f>
        <v/>
      </c>
      <c r="L826" s="28"/>
    </row>
    <row r="827" customFormat="false" ht="15" hidden="false" customHeight="false" outlineLevel="0" collapsed="false">
      <c r="A827" s="26"/>
      <c r="B827" s="27" t="str">
        <f aca="false">IF(A827="","",A827+7-WEEKDAY(A827,1)+1)</f>
        <v/>
      </c>
      <c r="C827" s="28"/>
      <c r="D827" s="29"/>
      <c r="E827" s="28"/>
      <c r="F827" s="28"/>
      <c r="G827" s="30"/>
      <c r="H827" s="31" t="str">
        <f aca="false">IF(E827="","",IFERROR(INDEX(Lists!$C$2:$C$86,MATCH(E827,Lists!$A$2:$A$86,0)),"?"))</f>
        <v/>
      </c>
      <c r="I827" s="32" t="str">
        <f aca="false">IF(OR(C827="",E827=""),"",IF(H827="Yes",IFERROR(INDEX(Employees!$E$4:$E$43,MATCH(C827,Employees!$B$4:$B$43,0)),0),0))</f>
        <v/>
      </c>
      <c r="J827" s="33" t="str">
        <f aca="false">IF(G827="","",IF(H827="Yes",G827*I827,0))</f>
        <v/>
      </c>
      <c r="K827" s="33" t="str">
        <f aca="false">IF(OR(C827="",G827=""),"",G827*IFERROR(INDEX(Employees!$F$4:$F$43,MATCH(C827,Employees!$B$4:$B$43,0)),0))</f>
        <v/>
      </c>
      <c r="L827" s="28"/>
    </row>
    <row r="828" customFormat="false" ht="15" hidden="false" customHeight="false" outlineLevel="0" collapsed="false">
      <c r="A828" s="26"/>
      <c r="B828" s="19" t="str">
        <f aca="false">IF(A828="","",A828+7-WEEKDAY(A828,1)+1)</f>
        <v/>
      </c>
      <c r="C828" s="28"/>
      <c r="D828" s="29"/>
      <c r="E828" s="28"/>
      <c r="F828" s="28"/>
      <c r="G828" s="30"/>
      <c r="H828" s="23" t="str">
        <f aca="false">IF(E828="","",IFERROR(INDEX(Lists!$C$2:$C$86,MATCH(E828,Lists!$A$2:$A$86,0)),"?"))</f>
        <v/>
      </c>
      <c r="I828" s="24" t="str">
        <f aca="false">IF(OR(C828="",E828=""),"",IF(H828="Yes",IFERROR(INDEX(Employees!$E$4:$E$43,MATCH(C828,Employees!$B$4:$B$43,0)),0),0))</f>
        <v/>
      </c>
      <c r="J828" s="25" t="str">
        <f aca="false">IF(G828="","",IF(H828="Yes",G828*I828,0))</f>
        <v/>
      </c>
      <c r="K828" s="25" t="str">
        <f aca="false">IF(OR(C828="",G828=""),"",G828*IFERROR(INDEX(Employees!$F$4:$F$43,MATCH(C828,Employees!$B$4:$B$43,0)),0))</f>
        <v/>
      </c>
      <c r="L828" s="28"/>
    </row>
    <row r="829" customFormat="false" ht="15" hidden="false" customHeight="false" outlineLevel="0" collapsed="false">
      <c r="A829" s="26"/>
      <c r="B829" s="27" t="str">
        <f aca="false">IF(A829="","",A829+7-WEEKDAY(A829,1)+1)</f>
        <v/>
      </c>
      <c r="C829" s="28"/>
      <c r="D829" s="29"/>
      <c r="E829" s="28"/>
      <c r="F829" s="28"/>
      <c r="G829" s="30"/>
      <c r="H829" s="31" t="str">
        <f aca="false">IF(E829="","",IFERROR(INDEX(Lists!$C$2:$C$86,MATCH(E829,Lists!$A$2:$A$86,0)),"?"))</f>
        <v/>
      </c>
      <c r="I829" s="32" t="str">
        <f aca="false">IF(OR(C829="",E829=""),"",IF(H829="Yes",IFERROR(INDEX(Employees!$E$4:$E$43,MATCH(C829,Employees!$B$4:$B$43,0)),0),0))</f>
        <v/>
      </c>
      <c r="J829" s="33" t="str">
        <f aca="false">IF(G829="","",IF(H829="Yes",G829*I829,0))</f>
        <v/>
      </c>
      <c r="K829" s="33" t="str">
        <f aca="false">IF(OR(C829="",G829=""),"",G829*IFERROR(INDEX(Employees!$F$4:$F$43,MATCH(C829,Employees!$B$4:$B$43,0)),0))</f>
        <v/>
      </c>
      <c r="L829" s="28"/>
    </row>
    <row r="830" customFormat="false" ht="15" hidden="false" customHeight="false" outlineLevel="0" collapsed="false">
      <c r="A830" s="26"/>
      <c r="B830" s="19" t="str">
        <f aca="false">IF(A830="","",A830+7-WEEKDAY(A830,1)+1)</f>
        <v/>
      </c>
      <c r="C830" s="28"/>
      <c r="D830" s="29"/>
      <c r="E830" s="28"/>
      <c r="F830" s="28"/>
      <c r="G830" s="30"/>
      <c r="H830" s="23" t="str">
        <f aca="false">IF(E830="","",IFERROR(INDEX(Lists!$C$2:$C$86,MATCH(E830,Lists!$A$2:$A$86,0)),"?"))</f>
        <v/>
      </c>
      <c r="I830" s="24" t="str">
        <f aca="false">IF(OR(C830="",E830=""),"",IF(H830="Yes",IFERROR(INDEX(Employees!$E$4:$E$43,MATCH(C830,Employees!$B$4:$B$43,0)),0),0))</f>
        <v/>
      </c>
      <c r="J830" s="25" t="str">
        <f aca="false">IF(G830="","",IF(H830="Yes",G830*I830,0))</f>
        <v/>
      </c>
      <c r="K830" s="25" t="str">
        <f aca="false">IF(OR(C830="",G830=""),"",G830*IFERROR(INDEX(Employees!$F$4:$F$43,MATCH(C830,Employees!$B$4:$B$43,0)),0))</f>
        <v/>
      </c>
      <c r="L830" s="28"/>
    </row>
    <row r="831" customFormat="false" ht="15" hidden="false" customHeight="false" outlineLevel="0" collapsed="false">
      <c r="A831" s="26"/>
      <c r="B831" s="27" t="str">
        <f aca="false">IF(A831="","",A831+7-WEEKDAY(A831,1)+1)</f>
        <v/>
      </c>
      <c r="C831" s="28"/>
      <c r="D831" s="29"/>
      <c r="E831" s="28"/>
      <c r="F831" s="28"/>
      <c r="G831" s="30"/>
      <c r="H831" s="31" t="str">
        <f aca="false">IF(E831="","",IFERROR(INDEX(Lists!$C$2:$C$86,MATCH(E831,Lists!$A$2:$A$86,0)),"?"))</f>
        <v/>
      </c>
      <c r="I831" s="32" t="str">
        <f aca="false">IF(OR(C831="",E831=""),"",IF(H831="Yes",IFERROR(INDEX(Employees!$E$4:$E$43,MATCH(C831,Employees!$B$4:$B$43,0)),0),0))</f>
        <v/>
      </c>
      <c r="J831" s="33" t="str">
        <f aca="false">IF(G831="","",IF(H831="Yes",G831*I831,0))</f>
        <v/>
      </c>
      <c r="K831" s="33" t="str">
        <f aca="false">IF(OR(C831="",G831=""),"",G831*IFERROR(INDEX(Employees!$F$4:$F$43,MATCH(C831,Employees!$B$4:$B$43,0)),0))</f>
        <v/>
      </c>
      <c r="L831" s="28"/>
    </row>
    <row r="832" customFormat="false" ht="15" hidden="false" customHeight="false" outlineLevel="0" collapsed="false">
      <c r="A832" s="26"/>
      <c r="B832" s="19" t="str">
        <f aca="false">IF(A832="","",A832+7-WEEKDAY(A832,1)+1)</f>
        <v/>
      </c>
      <c r="C832" s="28"/>
      <c r="D832" s="29"/>
      <c r="E832" s="28"/>
      <c r="F832" s="28"/>
      <c r="G832" s="30"/>
      <c r="H832" s="23" t="str">
        <f aca="false">IF(E832="","",IFERROR(INDEX(Lists!$C$2:$C$86,MATCH(E832,Lists!$A$2:$A$86,0)),"?"))</f>
        <v/>
      </c>
      <c r="I832" s="24" t="str">
        <f aca="false">IF(OR(C832="",E832=""),"",IF(H832="Yes",IFERROR(INDEX(Employees!$E$4:$E$43,MATCH(C832,Employees!$B$4:$B$43,0)),0),0))</f>
        <v/>
      </c>
      <c r="J832" s="25" t="str">
        <f aca="false">IF(G832="","",IF(H832="Yes",G832*I832,0))</f>
        <v/>
      </c>
      <c r="K832" s="25" t="str">
        <f aca="false">IF(OR(C832="",G832=""),"",G832*IFERROR(INDEX(Employees!$F$4:$F$43,MATCH(C832,Employees!$B$4:$B$43,0)),0))</f>
        <v/>
      </c>
      <c r="L832" s="28"/>
    </row>
    <row r="833" customFormat="false" ht="15" hidden="false" customHeight="false" outlineLevel="0" collapsed="false">
      <c r="A833" s="26"/>
      <c r="B833" s="27" t="str">
        <f aca="false">IF(A833="","",A833+7-WEEKDAY(A833,1)+1)</f>
        <v/>
      </c>
      <c r="C833" s="28"/>
      <c r="D833" s="29"/>
      <c r="E833" s="28"/>
      <c r="F833" s="28"/>
      <c r="G833" s="30"/>
      <c r="H833" s="31" t="str">
        <f aca="false">IF(E833="","",IFERROR(INDEX(Lists!$C$2:$C$86,MATCH(E833,Lists!$A$2:$A$86,0)),"?"))</f>
        <v/>
      </c>
      <c r="I833" s="32" t="str">
        <f aca="false">IF(OR(C833="",E833=""),"",IF(H833="Yes",IFERROR(INDEX(Employees!$E$4:$E$43,MATCH(C833,Employees!$B$4:$B$43,0)),0),0))</f>
        <v/>
      </c>
      <c r="J833" s="33" t="str">
        <f aca="false">IF(G833="","",IF(H833="Yes",G833*I833,0))</f>
        <v/>
      </c>
      <c r="K833" s="33" t="str">
        <f aca="false">IF(OR(C833="",G833=""),"",G833*IFERROR(INDEX(Employees!$F$4:$F$43,MATCH(C833,Employees!$B$4:$B$43,0)),0))</f>
        <v/>
      </c>
      <c r="L833" s="28"/>
    </row>
    <row r="834" customFormat="false" ht="15" hidden="false" customHeight="false" outlineLevel="0" collapsed="false">
      <c r="A834" s="26"/>
      <c r="B834" s="19" t="str">
        <f aca="false">IF(A834="","",A834+7-WEEKDAY(A834,1)+1)</f>
        <v/>
      </c>
      <c r="C834" s="28"/>
      <c r="D834" s="29"/>
      <c r="E834" s="28"/>
      <c r="F834" s="28"/>
      <c r="G834" s="30"/>
      <c r="H834" s="23" t="str">
        <f aca="false">IF(E834="","",IFERROR(INDEX(Lists!$C$2:$C$86,MATCH(E834,Lists!$A$2:$A$86,0)),"?"))</f>
        <v/>
      </c>
      <c r="I834" s="24" t="str">
        <f aca="false">IF(OR(C834="",E834=""),"",IF(H834="Yes",IFERROR(INDEX(Employees!$E$4:$E$43,MATCH(C834,Employees!$B$4:$B$43,0)),0),0))</f>
        <v/>
      </c>
      <c r="J834" s="25" t="str">
        <f aca="false">IF(G834="","",IF(H834="Yes",G834*I834,0))</f>
        <v/>
      </c>
      <c r="K834" s="25" t="str">
        <f aca="false">IF(OR(C834="",G834=""),"",G834*IFERROR(INDEX(Employees!$F$4:$F$43,MATCH(C834,Employees!$B$4:$B$43,0)),0))</f>
        <v/>
      </c>
      <c r="L834" s="28"/>
    </row>
    <row r="835" customFormat="false" ht="15" hidden="false" customHeight="false" outlineLevel="0" collapsed="false">
      <c r="A835" s="26"/>
      <c r="B835" s="27" t="str">
        <f aca="false">IF(A835="","",A835+7-WEEKDAY(A835,1)+1)</f>
        <v/>
      </c>
      <c r="C835" s="28"/>
      <c r="D835" s="29"/>
      <c r="E835" s="28"/>
      <c r="F835" s="28"/>
      <c r="G835" s="30"/>
      <c r="H835" s="31" t="str">
        <f aca="false">IF(E835="","",IFERROR(INDEX(Lists!$C$2:$C$86,MATCH(E835,Lists!$A$2:$A$86,0)),"?"))</f>
        <v/>
      </c>
      <c r="I835" s="32" t="str">
        <f aca="false">IF(OR(C835="",E835=""),"",IF(H835="Yes",IFERROR(INDEX(Employees!$E$4:$E$43,MATCH(C835,Employees!$B$4:$B$43,0)),0),0))</f>
        <v/>
      </c>
      <c r="J835" s="33" t="str">
        <f aca="false">IF(G835="","",IF(H835="Yes",G835*I835,0))</f>
        <v/>
      </c>
      <c r="K835" s="33" t="str">
        <f aca="false">IF(OR(C835="",G835=""),"",G835*IFERROR(INDEX(Employees!$F$4:$F$43,MATCH(C835,Employees!$B$4:$B$43,0)),0))</f>
        <v/>
      </c>
      <c r="L835" s="28"/>
    </row>
    <row r="836" customFormat="false" ht="15" hidden="false" customHeight="false" outlineLevel="0" collapsed="false">
      <c r="A836" s="26"/>
      <c r="B836" s="19" t="str">
        <f aca="false">IF(A836="","",A836+7-WEEKDAY(A836,1)+1)</f>
        <v/>
      </c>
      <c r="C836" s="28"/>
      <c r="D836" s="29"/>
      <c r="E836" s="28"/>
      <c r="F836" s="28"/>
      <c r="G836" s="30"/>
      <c r="H836" s="23" t="str">
        <f aca="false">IF(E836="","",IFERROR(INDEX(Lists!$C$2:$C$86,MATCH(E836,Lists!$A$2:$A$86,0)),"?"))</f>
        <v/>
      </c>
      <c r="I836" s="24" t="str">
        <f aca="false">IF(OR(C836="",E836=""),"",IF(H836="Yes",IFERROR(INDEX(Employees!$E$4:$E$43,MATCH(C836,Employees!$B$4:$B$43,0)),0),0))</f>
        <v/>
      </c>
      <c r="J836" s="25" t="str">
        <f aca="false">IF(G836="","",IF(H836="Yes",G836*I836,0))</f>
        <v/>
      </c>
      <c r="K836" s="25" t="str">
        <f aca="false">IF(OR(C836="",G836=""),"",G836*IFERROR(INDEX(Employees!$F$4:$F$43,MATCH(C836,Employees!$B$4:$B$43,0)),0))</f>
        <v/>
      </c>
      <c r="L836" s="28"/>
    </row>
    <row r="837" customFormat="false" ht="15" hidden="false" customHeight="false" outlineLevel="0" collapsed="false">
      <c r="A837" s="26"/>
      <c r="B837" s="27" t="str">
        <f aca="false">IF(A837="","",A837+7-WEEKDAY(A837,1)+1)</f>
        <v/>
      </c>
      <c r="C837" s="28"/>
      <c r="D837" s="29"/>
      <c r="E837" s="28"/>
      <c r="F837" s="28"/>
      <c r="G837" s="30"/>
      <c r="H837" s="31" t="str">
        <f aca="false">IF(E837="","",IFERROR(INDEX(Lists!$C$2:$C$86,MATCH(E837,Lists!$A$2:$A$86,0)),"?"))</f>
        <v/>
      </c>
      <c r="I837" s="32" t="str">
        <f aca="false">IF(OR(C837="",E837=""),"",IF(H837="Yes",IFERROR(INDEX(Employees!$E$4:$E$43,MATCH(C837,Employees!$B$4:$B$43,0)),0),0))</f>
        <v/>
      </c>
      <c r="J837" s="33" t="str">
        <f aca="false">IF(G837="","",IF(H837="Yes",G837*I837,0))</f>
        <v/>
      </c>
      <c r="K837" s="33" t="str">
        <f aca="false">IF(OR(C837="",G837=""),"",G837*IFERROR(INDEX(Employees!$F$4:$F$43,MATCH(C837,Employees!$B$4:$B$43,0)),0))</f>
        <v/>
      </c>
      <c r="L837" s="28"/>
    </row>
    <row r="838" customFormat="false" ht="15" hidden="false" customHeight="false" outlineLevel="0" collapsed="false">
      <c r="A838" s="26"/>
      <c r="B838" s="19" t="str">
        <f aca="false">IF(A838="","",A838+7-WEEKDAY(A838,1)+1)</f>
        <v/>
      </c>
      <c r="C838" s="28"/>
      <c r="D838" s="29"/>
      <c r="E838" s="28"/>
      <c r="F838" s="28"/>
      <c r="G838" s="30"/>
      <c r="H838" s="23" t="str">
        <f aca="false">IF(E838="","",IFERROR(INDEX(Lists!$C$2:$C$86,MATCH(E838,Lists!$A$2:$A$86,0)),"?"))</f>
        <v/>
      </c>
      <c r="I838" s="24" t="str">
        <f aca="false">IF(OR(C838="",E838=""),"",IF(H838="Yes",IFERROR(INDEX(Employees!$E$4:$E$43,MATCH(C838,Employees!$B$4:$B$43,0)),0),0))</f>
        <v/>
      </c>
      <c r="J838" s="25" t="str">
        <f aca="false">IF(G838="","",IF(H838="Yes",G838*I838,0))</f>
        <v/>
      </c>
      <c r="K838" s="25" t="str">
        <f aca="false">IF(OR(C838="",G838=""),"",G838*IFERROR(INDEX(Employees!$F$4:$F$43,MATCH(C838,Employees!$B$4:$B$43,0)),0))</f>
        <v/>
      </c>
      <c r="L838" s="28"/>
    </row>
    <row r="839" customFormat="false" ht="15" hidden="false" customHeight="false" outlineLevel="0" collapsed="false">
      <c r="A839" s="26"/>
      <c r="B839" s="27" t="str">
        <f aca="false">IF(A839="","",A839+7-WEEKDAY(A839,1)+1)</f>
        <v/>
      </c>
      <c r="C839" s="28"/>
      <c r="D839" s="29"/>
      <c r="E839" s="28"/>
      <c r="F839" s="28"/>
      <c r="G839" s="30"/>
      <c r="H839" s="31" t="str">
        <f aca="false">IF(E839="","",IFERROR(INDEX(Lists!$C$2:$C$86,MATCH(E839,Lists!$A$2:$A$86,0)),"?"))</f>
        <v/>
      </c>
      <c r="I839" s="32" t="str">
        <f aca="false">IF(OR(C839="",E839=""),"",IF(H839="Yes",IFERROR(INDEX(Employees!$E$4:$E$43,MATCH(C839,Employees!$B$4:$B$43,0)),0),0))</f>
        <v/>
      </c>
      <c r="J839" s="33" t="str">
        <f aca="false">IF(G839="","",IF(H839="Yes",G839*I839,0))</f>
        <v/>
      </c>
      <c r="K839" s="33" t="str">
        <f aca="false">IF(OR(C839="",G839=""),"",G839*IFERROR(INDEX(Employees!$F$4:$F$43,MATCH(C839,Employees!$B$4:$B$43,0)),0))</f>
        <v/>
      </c>
      <c r="L839" s="28"/>
    </row>
    <row r="840" customFormat="false" ht="15" hidden="false" customHeight="false" outlineLevel="0" collapsed="false">
      <c r="A840" s="26"/>
      <c r="B840" s="19" t="str">
        <f aca="false">IF(A840="","",A840+7-WEEKDAY(A840,1)+1)</f>
        <v/>
      </c>
      <c r="C840" s="28"/>
      <c r="D840" s="29"/>
      <c r="E840" s="28"/>
      <c r="F840" s="28"/>
      <c r="G840" s="30"/>
      <c r="H840" s="23" t="str">
        <f aca="false">IF(E840="","",IFERROR(INDEX(Lists!$C$2:$C$86,MATCH(E840,Lists!$A$2:$A$86,0)),"?"))</f>
        <v/>
      </c>
      <c r="I840" s="24" t="str">
        <f aca="false">IF(OR(C840="",E840=""),"",IF(H840="Yes",IFERROR(INDEX(Employees!$E$4:$E$43,MATCH(C840,Employees!$B$4:$B$43,0)),0),0))</f>
        <v/>
      </c>
      <c r="J840" s="25" t="str">
        <f aca="false">IF(G840="","",IF(H840="Yes",G840*I840,0))</f>
        <v/>
      </c>
      <c r="K840" s="25" t="str">
        <f aca="false">IF(OR(C840="",G840=""),"",G840*IFERROR(INDEX(Employees!$F$4:$F$43,MATCH(C840,Employees!$B$4:$B$43,0)),0))</f>
        <v/>
      </c>
      <c r="L840" s="28"/>
    </row>
    <row r="841" customFormat="false" ht="15" hidden="false" customHeight="false" outlineLevel="0" collapsed="false">
      <c r="A841" s="26"/>
      <c r="B841" s="27" t="str">
        <f aca="false">IF(A841="","",A841+7-WEEKDAY(A841,1)+1)</f>
        <v/>
      </c>
      <c r="C841" s="28"/>
      <c r="D841" s="29"/>
      <c r="E841" s="28"/>
      <c r="F841" s="28"/>
      <c r="G841" s="30"/>
      <c r="H841" s="31" t="str">
        <f aca="false">IF(E841="","",IFERROR(INDEX(Lists!$C$2:$C$86,MATCH(E841,Lists!$A$2:$A$86,0)),"?"))</f>
        <v/>
      </c>
      <c r="I841" s="32" t="str">
        <f aca="false">IF(OR(C841="",E841=""),"",IF(H841="Yes",IFERROR(INDEX(Employees!$E$4:$E$43,MATCH(C841,Employees!$B$4:$B$43,0)),0),0))</f>
        <v/>
      </c>
      <c r="J841" s="33" t="str">
        <f aca="false">IF(G841="","",IF(H841="Yes",G841*I841,0))</f>
        <v/>
      </c>
      <c r="K841" s="33" t="str">
        <f aca="false">IF(OR(C841="",G841=""),"",G841*IFERROR(INDEX(Employees!$F$4:$F$43,MATCH(C841,Employees!$B$4:$B$43,0)),0))</f>
        <v/>
      </c>
      <c r="L841" s="28"/>
    </row>
    <row r="842" customFormat="false" ht="15" hidden="false" customHeight="false" outlineLevel="0" collapsed="false">
      <c r="A842" s="26"/>
      <c r="B842" s="19" t="str">
        <f aca="false">IF(A842="","",A842+7-WEEKDAY(A842,1)+1)</f>
        <v/>
      </c>
      <c r="C842" s="28"/>
      <c r="D842" s="29"/>
      <c r="E842" s="28"/>
      <c r="F842" s="28"/>
      <c r="G842" s="30"/>
      <c r="H842" s="23" t="str">
        <f aca="false">IF(E842="","",IFERROR(INDEX(Lists!$C$2:$C$86,MATCH(E842,Lists!$A$2:$A$86,0)),"?"))</f>
        <v/>
      </c>
      <c r="I842" s="24" t="str">
        <f aca="false">IF(OR(C842="",E842=""),"",IF(H842="Yes",IFERROR(INDEX(Employees!$E$4:$E$43,MATCH(C842,Employees!$B$4:$B$43,0)),0),0))</f>
        <v/>
      </c>
      <c r="J842" s="25" t="str">
        <f aca="false">IF(G842="","",IF(H842="Yes",G842*I842,0))</f>
        <v/>
      </c>
      <c r="K842" s="25" t="str">
        <f aca="false">IF(OR(C842="",G842=""),"",G842*IFERROR(INDEX(Employees!$F$4:$F$43,MATCH(C842,Employees!$B$4:$B$43,0)),0))</f>
        <v/>
      </c>
      <c r="L842" s="28"/>
    </row>
    <row r="843" customFormat="false" ht="15" hidden="false" customHeight="false" outlineLevel="0" collapsed="false">
      <c r="A843" s="26"/>
      <c r="B843" s="27" t="str">
        <f aca="false">IF(A843="","",A843+7-WEEKDAY(A843,1)+1)</f>
        <v/>
      </c>
      <c r="C843" s="28"/>
      <c r="D843" s="29"/>
      <c r="E843" s="28"/>
      <c r="F843" s="28"/>
      <c r="G843" s="30"/>
      <c r="H843" s="31" t="str">
        <f aca="false">IF(E843="","",IFERROR(INDEX(Lists!$C$2:$C$86,MATCH(E843,Lists!$A$2:$A$86,0)),"?"))</f>
        <v/>
      </c>
      <c r="I843" s="32" t="str">
        <f aca="false">IF(OR(C843="",E843=""),"",IF(H843="Yes",IFERROR(INDEX(Employees!$E$4:$E$43,MATCH(C843,Employees!$B$4:$B$43,0)),0),0))</f>
        <v/>
      </c>
      <c r="J843" s="33" t="str">
        <f aca="false">IF(G843="","",IF(H843="Yes",G843*I843,0))</f>
        <v/>
      </c>
      <c r="K843" s="33" t="str">
        <f aca="false">IF(OR(C843="",G843=""),"",G843*IFERROR(INDEX(Employees!$F$4:$F$43,MATCH(C843,Employees!$B$4:$B$43,0)),0))</f>
        <v/>
      </c>
      <c r="L843" s="28"/>
    </row>
    <row r="844" customFormat="false" ht="15" hidden="false" customHeight="false" outlineLevel="0" collapsed="false">
      <c r="A844" s="26"/>
      <c r="B844" s="19" t="str">
        <f aca="false">IF(A844="","",A844+7-WEEKDAY(A844,1)+1)</f>
        <v/>
      </c>
      <c r="C844" s="28"/>
      <c r="D844" s="29"/>
      <c r="E844" s="28"/>
      <c r="F844" s="28"/>
      <c r="G844" s="30"/>
      <c r="H844" s="23" t="str">
        <f aca="false">IF(E844="","",IFERROR(INDEX(Lists!$C$2:$C$86,MATCH(E844,Lists!$A$2:$A$86,0)),"?"))</f>
        <v/>
      </c>
      <c r="I844" s="24" t="str">
        <f aca="false">IF(OR(C844="",E844=""),"",IF(H844="Yes",IFERROR(INDEX(Employees!$E$4:$E$43,MATCH(C844,Employees!$B$4:$B$43,0)),0),0))</f>
        <v/>
      </c>
      <c r="J844" s="25" t="str">
        <f aca="false">IF(G844="","",IF(H844="Yes",G844*I844,0))</f>
        <v/>
      </c>
      <c r="K844" s="25" t="str">
        <f aca="false">IF(OR(C844="",G844=""),"",G844*IFERROR(INDEX(Employees!$F$4:$F$43,MATCH(C844,Employees!$B$4:$B$43,0)),0))</f>
        <v/>
      </c>
      <c r="L844" s="28"/>
    </row>
    <row r="845" customFormat="false" ht="15" hidden="false" customHeight="false" outlineLevel="0" collapsed="false">
      <c r="A845" s="26"/>
      <c r="B845" s="27" t="str">
        <f aca="false">IF(A845="","",A845+7-WEEKDAY(A845,1)+1)</f>
        <v/>
      </c>
      <c r="C845" s="28"/>
      <c r="D845" s="29"/>
      <c r="E845" s="28"/>
      <c r="F845" s="28"/>
      <c r="G845" s="30"/>
      <c r="H845" s="31" t="str">
        <f aca="false">IF(E845="","",IFERROR(INDEX(Lists!$C$2:$C$86,MATCH(E845,Lists!$A$2:$A$86,0)),"?"))</f>
        <v/>
      </c>
      <c r="I845" s="32" t="str">
        <f aca="false">IF(OR(C845="",E845=""),"",IF(H845="Yes",IFERROR(INDEX(Employees!$E$4:$E$43,MATCH(C845,Employees!$B$4:$B$43,0)),0),0))</f>
        <v/>
      </c>
      <c r="J845" s="33" t="str">
        <f aca="false">IF(G845="","",IF(H845="Yes",G845*I845,0))</f>
        <v/>
      </c>
      <c r="K845" s="33" t="str">
        <f aca="false">IF(OR(C845="",G845=""),"",G845*IFERROR(INDEX(Employees!$F$4:$F$43,MATCH(C845,Employees!$B$4:$B$43,0)),0))</f>
        <v/>
      </c>
      <c r="L845" s="28"/>
    </row>
    <row r="846" customFormat="false" ht="15" hidden="false" customHeight="false" outlineLevel="0" collapsed="false">
      <c r="A846" s="26"/>
      <c r="B846" s="19" t="str">
        <f aca="false">IF(A846="","",A846+7-WEEKDAY(A846,1)+1)</f>
        <v/>
      </c>
      <c r="C846" s="28"/>
      <c r="D846" s="29"/>
      <c r="E846" s="28"/>
      <c r="F846" s="28"/>
      <c r="G846" s="30"/>
      <c r="H846" s="23" t="str">
        <f aca="false">IF(E846="","",IFERROR(INDEX(Lists!$C$2:$C$86,MATCH(E846,Lists!$A$2:$A$86,0)),"?"))</f>
        <v/>
      </c>
      <c r="I846" s="24" t="str">
        <f aca="false">IF(OR(C846="",E846=""),"",IF(H846="Yes",IFERROR(INDEX(Employees!$E$4:$E$43,MATCH(C846,Employees!$B$4:$B$43,0)),0),0))</f>
        <v/>
      </c>
      <c r="J846" s="25" t="str">
        <f aca="false">IF(G846="","",IF(H846="Yes",G846*I846,0))</f>
        <v/>
      </c>
      <c r="K846" s="25" t="str">
        <f aca="false">IF(OR(C846="",G846=""),"",G846*IFERROR(INDEX(Employees!$F$4:$F$43,MATCH(C846,Employees!$B$4:$B$43,0)),0))</f>
        <v/>
      </c>
      <c r="L846" s="28"/>
    </row>
    <row r="847" customFormat="false" ht="15" hidden="false" customHeight="false" outlineLevel="0" collapsed="false">
      <c r="A847" s="26"/>
      <c r="B847" s="27" t="str">
        <f aca="false">IF(A847="","",A847+7-WEEKDAY(A847,1)+1)</f>
        <v/>
      </c>
      <c r="C847" s="28"/>
      <c r="D847" s="29"/>
      <c r="E847" s="28"/>
      <c r="F847" s="28"/>
      <c r="G847" s="30"/>
      <c r="H847" s="31" t="str">
        <f aca="false">IF(E847="","",IFERROR(INDEX(Lists!$C$2:$C$86,MATCH(E847,Lists!$A$2:$A$86,0)),"?"))</f>
        <v/>
      </c>
      <c r="I847" s="32" t="str">
        <f aca="false">IF(OR(C847="",E847=""),"",IF(H847="Yes",IFERROR(INDEX(Employees!$E$4:$E$43,MATCH(C847,Employees!$B$4:$B$43,0)),0),0))</f>
        <v/>
      </c>
      <c r="J847" s="33" t="str">
        <f aca="false">IF(G847="","",IF(H847="Yes",G847*I847,0))</f>
        <v/>
      </c>
      <c r="K847" s="33" t="str">
        <f aca="false">IF(OR(C847="",G847=""),"",G847*IFERROR(INDEX(Employees!$F$4:$F$43,MATCH(C847,Employees!$B$4:$B$43,0)),0))</f>
        <v/>
      </c>
      <c r="L847" s="28"/>
    </row>
    <row r="848" customFormat="false" ht="15" hidden="false" customHeight="false" outlineLevel="0" collapsed="false">
      <c r="A848" s="26"/>
      <c r="B848" s="19" t="str">
        <f aca="false">IF(A848="","",A848+7-WEEKDAY(A848,1)+1)</f>
        <v/>
      </c>
      <c r="C848" s="28"/>
      <c r="D848" s="29"/>
      <c r="E848" s="28"/>
      <c r="F848" s="28"/>
      <c r="G848" s="30"/>
      <c r="H848" s="23" t="str">
        <f aca="false">IF(E848="","",IFERROR(INDEX(Lists!$C$2:$C$86,MATCH(E848,Lists!$A$2:$A$86,0)),"?"))</f>
        <v/>
      </c>
      <c r="I848" s="24" t="str">
        <f aca="false">IF(OR(C848="",E848=""),"",IF(H848="Yes",IFERROR(INDEX(Employees!$E$4:$E$43,MATCH(C848,Employees!$B$4:$B$43,0)),0),0))</f>
        <v/>
      </c>
      <c r="J848" s="25" t="str">
        <f aca="false">IF(G848="","",IF(H848="Yes",G848*I848,0))</f>
        <v/>
      </c>
      <c r="K848" s="25" t="str">
        <f aca="false">IF(OR(C848="",G848=""),"",G848*IFERROR(INDEX(Employees!$F$4:$F$43,MATCH(C848,Employees!$B$4:$B$43,0)),0))</f>
        <v/>
      </c>
      <c r="L848" s="28"/>
    </row>
    <row r="849" customFormat="false" ht="15" hidden="false" customHeight="false" outlineLevel="0" collapsed="false">
      <c r="A849" s="26"/>
      <c r="B849" s="27" t="str">
        <f aca="false">IF(A849="","",A849+7-WEEKDAY(A849,1)+1)</f>
        <v/>
      </c>
      <c r="C849" s="28"/>
      <c r="D849" s="29"/>
      <c r="E849" s="28"/>
      <c r="F849" s="28"/>
      <c r="G849" s="30"/>
      <c r="H849" s="31" t="str">
        <f aca="false">IF(E849="","",IFERROR(INDEX(Lists!$C$2:$C$86,MATCH(E849,Lists!$A$2:$A$86,0)),"?"))</f>
        <v/>
      </c>
      <c r="I849" s="32" t="str">
        <f aca="false">IF(OR(C849="",E849=""),"",IF(H849="Yes",IFERROR(INDEX(Employees!$E$4:$E$43,MATCH(C849,Employees!$B$4:$B$43,0)),0),0))</f>
        <v/>
      </c>
      <c r="J849" s="33" t="str">
        <f aca="false">IF(G849="","",IF(H849="Yes",G849*I849,0))</f>
        <v/>
      </c>
      <c r="K849" s="33" t="str">
        <f aca="false">IF(OR(C849="",G849=""),"",G849*IFERROR(INDEX(Employees!$F$4:$F$43,MATCH(C849,Employees!$B$4:$B$43,0)),0))</f>
        <v/>
      </c>
      <c r="L849" s="28"/>
    </row>
    <row r="850" customFormat="false" ht="15" hidden="false" customHeight="false" outlineLevel="0" collapsed="false">
      <c r="A850" s="26"/>
      <c r="B850" s="19" t="str">
        <f aca="false">IF(A850="","",A850+7-WEEKDAY(A850,1)+1)</f>
        <v/>
      </c>
      <c r="C850" s="28"/>
      <c r="D850" s="29"/>
      <c r="E850" s="28"/>
      <c r="F850" s="28"/>
      <c r="G850" s="30"/>
      <c r="H850" s="23" t="str">
        <f aca="false">IF(E850="","",IFERROR(INDEX(Lists!$C$2:$C$86,MATCH(E850,Lists!$A$2:$A$86,0)),"?"))</f>
        <v/>
      </c>
      <c r="I850" s="24" t="str">
        <f aca="false">IF(OR(C850="",E850=""),"",IF(H850="Yes",IFERROR(INDEX(Employees!$E$4:$E$43,MATCH(C850,Employees!$B$4:$B$43,0)),0),0))</f>
        <v/>
      </c>
      <c r="J850" s="25" t="str">
        <f aca="false">IF(G850="","",IF(H850="Yes",G850*I850,0))</f>
        <v/>
      </c>
      <c r="K850" s="25" t="str">
        <f aca="false">IF(OR(C850="",G850=""),"",G850*IFERROR(INDEX(Employees!$F$4:$F$43,MATCH(C850,Employees!$B$4:$B$43,0)),0))</f>
        <v/>
      </c>
      <c r="L850" s="28"/>
    </row>
    <row r="851" customFormat="false" ht="15" hidden="false" customHeight="false" outlineLevel="0" collapsed="false">
      <c r="A851" s="26"/>
      <c r="B851" s="27" t="str">
        <f aca="false">IF(A851="","",A851+7-WEEKDAY(A851,1)+1)</f>
        <v/>
      </c>
      <c r="C851" s="28"/>
      <c r="D851" s="29"/>
      <c r="E851" s="28"/>
      <c r="F851" s="28"/>
      <c r="G851" s="30"/>
      <c r="H851" s="31" t="str">
        <f aca="false">IF(E851="","",IFERROR(INDEX(Lists!$C$2:$C$86,MATCH(E851,Lists!$A$2:$A$86,0)),"?"))</f>
        <v/>
      </c>
      <c r="I851" s="32" t="str">
        <f aca="false">IF(OR(C851="",E851=""),"",IF(H851="Yes",IFERROR(INDEX(Employees!$E$4:$E$43,MATCH(C851,Employees!$B$4:$B$43,0)),0),0))</f>
        <v/>
      </c>
      <c r="J851" s="33" t="str">
        <f aca="false">IF(G851="","",IF(H851="Yes",G851*I851,0))</f>
        <v/>
      </c>
      <c r="K851" s="33" t="str">
        <f aca="false">IF(OR(C851="",G851=""),"",G851*IFERROR(INDEX(Employees!$F$4:$F$43,MATCH(C851,Employees!$B$4:$B$43,0)),0))</f>
        <v/>
      </c>
      <c r="L851" s="28"/>
    </row>
    <row r="852" customFormat="false" ht="15" hidden="false" customHeight="false" outlineLevel="0" collapsed="false">
      <c r="A852" s="26"/>
      <c r="B852" s="19" t="str">
        <f aca="false">IF(A852="","",A852+7-WEEKDAY(A852,1)+1)</f>
        <v/>
      </c>
      <c r="C852" s="28"/>
      <c r="D852" s="29"/>
      <c r="E852" s="28"/>
      <c r="F852" s="28"/>
      <c r="G852" s="30"/>
      <c r="H852" s="23" t="str">
        <f aca="false">IF(E852="","",IFERROR(INDEX(Lists!$C$2:$C$86,MATCH(E852,Lists!$A$2:$A$86,0)),"?"))</f>
        <v/>
      </c>
      <c r="I852" s="24" t="str">
        <f aca="false">IF(OR(C852="",E852=""),"",IF(H852="Yes",IFERROR(INDEX(Employees!$E$4:$E$43,MATCH(C852,Employees!$B$4:$B$43,0)),0),0))</f>
        <v/>
      </c>
      <c r="J852" s="25" t="str">
        <f aca="false">IF(G852="","",IF(H852="Yes",G852*I852,0))</f>
        <v/>
      </c>
      <c r="K852" s="25" t="str">
        <f aca="false">IF(OR(C852="",G852=""),"",G852*IFERROR(INDEX(Employees!$F$4:$F$43,MATCH(C852,Employees!$B$4:$B$43,0)),0))</f>
        <v/>
      </c>
      <c r="L852" s="28"/>
    </row>
    <row r="853" customFormat="false" ht="15" hidden="false" customHeight="false" outlineLevel="0" collapsed="false">
      <c r="A853" s="26"/>
      <c r="B853" s="27" t="str">
        <f aca="false">IF(A853="","",A853+7-WEEKDAY(A853,1)+1)</f>
        <v/>
      </c>
      <c r="C853" s="28"/>
      <c r="D853" s="29"/>
      <c r="E853" s="28"/>
      <c r="F853" s="28"/>
      <c r="G853" s="30"/>
      <c r="H853" s="31" t="str">
        <f aca="false">IF(E853="","",IFERROR(INDEX(Lists!$C$2:$C$86,MATCH(E853,Lists!$A$2:$A$86,0)),"?"))</f>
        <v/>
      </c>
      <c r="I853" s="32" t="str">
        <f aca="false">IF(OR(C853="",E853=""),"",IF(H853="Yes",IFERROR(INDEX(Employees!$E$4:$E$43,MATCH(C853,Employees!$B$4:$B$43,0)),0),0))</f>
        <v/>
      </c>
      <c r="J853" s="33" t="str">
        <f aca="false">IF(G853="","",IF(H853="Yes",G853*I853,0))</f>
        <v/>
      </c>
      <c r="K853" s="33" t="str">
        <f aca="false">IF(OR(C853="",G853=""),"",G853*IFERROR(INDEX(Employees!$F$4:$F$43,MATCH(C853,Employees!$B$4:$B$43,0)),0))</f>
        <v/>
      </c>
      <c r="L853" s="28"/>
    </row>
    <row r="854" customFormat="false" ht="15" hidden="false" customHeight="false" outlineLevel="0" collapsed="false">
      <c r="A854" s="26"/>
      <c r="B854" s="19" t="str">
        <f aca="false">IF(A854="","",A854+7-WEEKDAY(A854,1)+1)</f>
        <v/>
      </c>
      <c r="C854" s="28"/>
      <c r="D854" s="29"/>
      <c r="E854" s="28"/>
      <c r="F854" s="28"/>
      <c r="G854" s="30"/>
      <c r="H854" s="23" t="str">
        <f aca="false">IF(E854="","",IFERROR(INDEX(Lists!$C$2:$C$86,MATCH(E854,Lists!$A$2:$A$86,0)),"?"))</f>
        <v/>
      </c>
      <c r="I854" s="24" t="str">
        <f aca="false">IF(OR(C854="",E854=""),"",IF(H854="Yes",IFERROR(INDEX(Employees!$E$4:$E$43,MATCH(C854,Employees!$B$4:$B$43,0)),0),0))</f>
        <v/>
      </c>
      <c r="J854" s="25" t="str">
        <f aca="false">IF(G854="","",IF(H854="Yes",G854*I854,0))</f>
        <v/>
      </c>
      <c r="K854" s="25" t="str">
        <f aca="false">IF(OR(C854="",G854=""),"",G854*IFERROR(INDEX(Employees!$F$4:$F$43,MATCH(C854,Employees!$B$4:$B$43,0)),0))</f>
        <v/>
      </c>
      <c r="L854" s="28"/>
    </row>
    <row r="855" customFormat="false" ht="15" hidden="false" customHeight="false" outlineLevel="0" collapsed="false">
      <c r="A855" s="26"/>
      <c r="B855" s="27" t="str">
        <f aca="false">IF(A855="","",A855+7-WEEKDAY(A855,1)+1)</f>
        <v/>
      </c>
      <c r="C855" s="28"/>
      <c r="D855" s="29"/>
      <c r="E855" s="28"/>
      <c r="F855" s="28"/>
      <c r="G855" s="30"/>
      <c r="H855" s="31" t="str">
        <f aca="false">IF(E855="","",IFERROR(INDEX(Lists!$C$2:$C$86,MATCH(E855,Lists!$A$2:$A$86,0)),"?"))</f>
        <v/>
      </c>
      <c r="I855" s="32" t="str">
        <f aca="false">IF(OR(C855="",E855=""),"",IF(H855="Yes",IFERROR(INDEX(Employees!$E$4:$E$43,MATCH(C855,Employees!$B$4:$B$43,0)),0),0))</f>
        <v/>
      </c>
      <c r="J855" s="33" t="str">
        <f aca="false">IF(G855="","",IF(H855="Yes",G855*I855,0))</f>
        <v/>
      </c>
      <c r="K855" s="33" t="str">
        <f aca="false">IF(OR(C855="",G855=""),"",G855*IFERROR(INDEX(Employees!$F$4:$F$43,MATCH(C855,Employees!$B$4:$B$43,0)),0))</f>
        <v/>
      </c>
      <c r="L855" s="28"/>
    </row>
    <row r="856" customFormat="false" ht="15" hidden="false" customHeight="false" outlineLevel="0" collapsed="false">
      <c r="A856" s="26"/>
      <c r="B856" s="19" t="str">
        <f aca="false">IF(A856="","",A856+7-WEEKDAY(A856,1)+1)</f>
        <v/>
      </c>
      <c r="C856" s="28"/>
      <c r="D856" s="29"/>
      <c r="E856" s="28"/>
      <c r="F856" s="28"/>
      <c r="G856" s="30"/>
      <c r="H856" s="23" t="str">
        <f aca="false">IF(E856="","",IFERROR(INDEX(Lists!$C$2:$C$86,MATCH(E856,Lists!$A$2:$A$86,0)),"?"))</f>
        <v/>
      </c>
      <c r="I856" s="24" t="str">
        <f aca="false">IF(OR(C856="",E856=""),"",IF(H856="Yes",IFERROR(INDEX(Employees!$E$4:$E$43,MATCH(C856,Employees!$B$4:$B$43,0)),0),0))</f>
        <v/>
      </c>
      <c r="J856" s="25" t="str">
        <f aca="false">IF(G856="","",IF(H856="Yes",G856*I856,0))</f>
        <v/>
      </c>
      <c r="K856" s="25" t="str">
        <f aca="false">IF(OR(C856="",G856=""),"",G856*IFERROR(INDEX(Employees!$F$4:$F$43,MATCH(C856,Employees!$B$4:$B$43,0)),0))</f>
        <v/>
      </c>
      <c r="L856" s="28"/>
    </row>
    <row r="857" customFormat="false" ht="15" hidden="false" customHeight="false" outlineLevel="0" collapsed="false">
      <c r="A857" s="26"/>
      <c r="B857" s="27" t="str">
        <f aca="false">IF(A857="","",A857+7-WEEKDAY(A857,1)+1)</f>
        <v/>
      </c>
      <c r="C857" s="28"/>
      <c r="D857" s="29"/>
      <c r="E857" s="28"/>
      <c r="F857" s="28"/>
      <c r="G857" s="30"/>
      <c r="H857" s="31" t="str">
        <f aca="false">IF(E857="","",IFERROR(INDEX(Lists!$C$2:$C$86,MATCH(E857,Lists!$A$2:$A$86,0)),"?"))</f>
        <v/>
      </c>
      <c r="I857" s="32" t="str">
        <f aca="false">IF(OR(C857="",E857=""),"",IF(H857="Yes",IFERROR(INDEX(Employees!$E$4:$E$43,MATCH(C857,Employees!$B$4:$B$43,0)),0),0))</f>
        <v/>
      </c>
      <c r="J857" s="33" t="str">
        <f aca="false">IF(G857="","",IF(H857="Yes",G857*I857,0))</f>
        <v/>
      </c>
      <c r="K857" s="33" t="str">
        <f aca="false">IF(OR(C857="",G857=""),"",G857*IFERROR(INDEX(Employees!$F$4:$F$43,MATCH(C857,Employees!$B$4:$B$43,0)),0))</f>
        <v/>
      </c>
      <c r="L857" s="28"/>
    </row>
    <row r="858" customFormat="false" ht="15" hidden="false" customHeight="false" outlineLevel="0" collapsed="false">
      <c r="A858" s="26"/>
      <c r="B858" s="19" t="str">
        <f aca="false">IF(A858="","",A858+7-WEEKDAY(A858,1)+1)</f>
        <v/>
      </c>
      <c r="C858" s="28"/>
      <c r="D858" s="29"/>
      <c r="E858" s="28"/>
      <c r="F858" s="28"/>
      <c r="G858" s="30"/>
      <c r="H858" s="23" t="str">
        <f aca="false">IF(E858="","",IFERROR(INDEX(Lists!$C$2:$C$86,MATCH(E858,Lists!$A$2:$A$86,0)),"?"))</f>
        <v/>
      </c>
      <c r="I858" s="24" t="str">
        <f aca="false">IF(OR(C858="",E858=""),"",IF(H858="Yes",IFERROR(INDEX(Employees!$E$4:$E$43,MATCH(C858,Employees!$B$4:$B$43,0)),0),0))</f>
        <v/>
      </c>
      <c r="J858" s="25" t="str">
        <f aca="false">IF(G858="","",IF(H858="Yes",G858*I858,0))</f>
        <v/>
      </c>
      <c r="K858" s="25" t="str">
        <f aca="false">IF(OR(C858="",G858=""),"",G858*IFERROR(INDEX(Employees!$F$4:$F$43,MATCH(C858,Employees!$B$4:$B$43,0)),0))</f>
        <v/>
      </c>
      <c r="L858" s="28"/>
    </row>
    <row r="859" customFormat="false" ht="15" hidden="false" customHeight="false" outlineLevel="0" collapsed="false">
      <c r="A859" s="26"/>
      <c r="B859" s="27" t="str">
        <f aca="false">IF(A859="","",A859+7-WEEKDAY(A859,1)+1)</f>
        <v/>
      </c>
      <c r="C859" s="28"/>
      <c r="D859" s="29"/>
      <c r="E859" s="28"/>
      <c r="F859" s="28"/>
      <c r="G859" s="30"/>
      <c r="H859" s="31" t="str">
        <f aca="false">IF(E859="","",IFERROR(INDEX(Lists!$C$2:$C$86,MATCH(E859,Lists!$A$2:$A$86,0)),"?"))</f>
        <v/>
      </c>
      <c r="I859" s="32" t="str">
        <f aca="false">IF(OR(C859="",E859=""),"",IF(H859="Yes",IFERROR(INDEX(Employees!$E$4:$E$43,MATCH(C859,Employees!$B$4:$B$43,0)),0),0))</f>
        <v/>
      </c>
      <c r="J859" s="33" t="str">
        <f aca="false">IF(G859="","",IF(H859="Yes",G859*I859,0))</f>
        <v/>
      </c>
      <c r="K859" s="33" t="str">
        <f aca="false">IF(OR(C859="",G859=""),"",G859*IFERROR(INDEX(Employees!$F$4:$F$43,MATCH(C859,Employees!$B$4:$B$43,0)),0))</f>
        <v/>
      </c>
      <c r="L859" s="28"/>
    </row>
    <row r="860" customFormat="false" ht="15" hidden="false" customHeight="false" outlineLevel="0" collapsed="false">
      <c r="A860" s="26"/>
      <c r="B860" s="19" t="str">
        <f aca="false">IF(A860="","",A860+7-WEEKDAY(A860,1)+1)</f>
        <v/>
      </c>
      <c r="C860" s="28"/>
      <c r="D860" s="29"/>
      <c r="E860" s="28"/>
      <c r="F860" s="28"/>
      <c r="G860" s="30"/>
      <c r="H860" s="23" t="str">
        <f aca="false">IF(E860="","",IFERROR(INDEX(Lists!$C$2:$C$86,MATCH(E860,Lists!$A$2:$A$86,0)),"?"))</f>
        <v/>
      </c>
      <c r="I860" s="24" t="str">
        <f aca="false">IF(OR(C860="",E860=""),"",IF(H860="Yes",IFERROR(INDEX(Employees!$E$4:$E$43,MATCH(C860,Employees!$B$4:$B$43,0)),0),0))</f>
        <v/>
      </c>
      <c r="J860" s="25" t="str">
        <f aca="false">IF(G860="","",IF(H860="Yes",G860*I860,0))</f>
        <v/>
      </c>
      <c r="K860" s="25" t="str">
        <f aca="false">IF(OR(C860="",G860=""),"",G860*IFERROR(INDEX(Employees!$F$4:$F$43,MATCH(C860,Employees!$B$4:$B$43,0)),0))</f>
        <v/>
      </c>
      <c r="L860" s="28"/>
    </row>
    <row r="861" customFormat="false" ht="15" hidden="false" customHeight="false" outlineLevel="0" collapsed="false">
      <c r="A861" s="26"/>
      <c r="B861" s="27" t="str">
        <f aca="false">IF(A861="","",A861+7-WEEKDAY(A861,1)+1)</f>
        <v/>
      </c>
      <c r="C861" s="28"/>
      <c r="D861" s="29"/>
      <c r="E861" s="28"/>
      <c r="F861" s="28"/>
      <c r="G861" s="30"/>
      <c r="H861" s="31" t="str">
        <f aca="false">IF(E861="","",IFERROR(INDEX(Lists!$C$2:$C$86,MATCH(E861,Lists!$A$2:$A$86,0)),"?"))</f>
        <v/>
      </c>
      <c r="I861" s="32" t="str">
        <f aca="false">IF(OR(C861="",E861=""),"",IF(H861="Yes",IFERROR(INDEX(Employees!$E$4:$E$43,MATCH(C861,Employees!$B$4:$B$43,0)),0),0))</f>
        <v/>
      </c>
      <c r="J861" s="33" t="str">
        <f aca="false">IF(G861="","",IF(H861="Yes",G861*I861,0))</f>
        <v/>
      </c>
      <c r="K861" s="33" t="str">
        <f aca="false">IF(OR(C861="",G861=""),"",G861*IFERROR(INDEX(Employees!$F$4:$F$43,MATCH(C861,Employees!$B$4:$B$43,0)),0))</f>
        <v/>
      </c>
      <c r="L861" s="28"/>
    </row>
    <row r="862" customFormat="false" ht="15" hidden="false" customHeight="false" outlineLevel="0" collapsed="false">
      <c r="A862" s="26"/>
      <c r="B862" s="19" t="str">
        <f aca="false">IF(A862="","",A862+7-WEEKDAY(A862,1)+1)</f>
        <v/>
      </c>
      <c r="C862" s="28"/>
      <c r="D862" s="29"/>
      <c r="E862" s="28"/>
      <c r="F862" s="28"/>
      <c r="G862" s="30"/>
      <c r="H862" s="23" t="str">
        <f aca="false">IF(E862="","",IFERROR(INDEX(Lists!$C$2:$C$86,MATCH(E862,Lists!$A$2:$A$86,0)),"?"))</f>
        <v/>
      </c>
      <c r="I862" s="24" t="str">
        <f aca="false">IF(OR(C862="",E862=""),"",IF(H862="Yes",IFERROR(INDEX(Employees!$E$4:$E$43,MATCH(C862,Employees!$B$4:$B$43,0)),0),0))</f>
        <v/>
      </c>
      <c r="J862" s="25" t="str">
        <f aca="false">IF(G862="","",IF(H862="Yes",G862*I862,0))</f>
        <v/>
      </c>
      <c r="K862" s="25" t="str">
        <f aca="false">IF(OR(C862="",G862=""),"",G862*IFERROR(INDEX(Employees!$F$4:$F$43,MATCH(C862,Employees!$B$4:$B$43,0)),0))</f>
        <v/>
      </c>
      <c r="L862" s="28"/>
    </row>
    <row r="863" customFormat="false" ht="15" hidden="false" customHeight="false" outlineLevel="0" collapsed="false">
      <c r="A863" s="26"/>
      <c r="B863" s="27" t="str">
        <f aca="false">IF(A863="","",A863+7-WEEKDAY(A863,1)+1)</f>
        <v/>
      </c>
      <c r="C863" s="28"/>
      <c r="D863" s="29"/>
      <c r="E863" s="28"/>
      <c r="F863" s="28"/>
      <c r="G863" s="30"/>
      <c r="H863" s="31" t="str">
        <f aca="false">IF(E863="","",IFERROR(INDEX(Lists!$C$2:$C$86,MATCH(E863,Lists!$A$2:$A$86,0)),"?"))</f>
        <v/>
      </c>
      <c r="I863" s="32" t="str">
        <f aca="false">IF(OR(C863="",E863=""),"",IF(H863="Yes",IFERROR(INDEX(Employees!$E$4:$E$43,MATCH(C863,Employees!$B$4:$B$43,0)),0),0))</f>
        <v/>
      </c>
      <c r="J863" s="33" t="str">
        <f aca="false">IF(G863="","",IF(H863="Yes",G863*I863,0))</f>
        <v/>
      </c>
      <c r="K863" s="33" t="str">
        <f aca="false">IF(OR(C863="",G863=""),"",G863*IFERROR(INDEX(Employees!$F$4:$F$43,MATCH(C863,Employees!$B$4:$B$43,0)),0))</f>
        <v/>
      </c>
      <c r="L863" s="28"/>
    </row>
    <row r="864" customFormat="false" ht="15" hidden="false" customHeight="false" outlineLevel="0" collapsed="false">
      <c r="A864" s="26"/>
      <c r="B864" s="19" t="str">
        <f aca="false">IF(A864="","",A864+7-WEEKDAY(A864,1)+1)</f>
        <v/>
      </c>
      <c r="C864" s="28"/>
      <c r="D864" s="29"/>
      <c r="E864" s="28"/>
      <c r="F864" s="28"/>
      <c r="G864" s="30"/>
      <c r="H864" s="23" t="str">
        <f aca="false">IF(E864="","",IFERROR(INDEX(Lists!$C$2:$C$86,MATCH(E864,Lists!$A$2:$A$86,0)),"?"))</f>
        <v/>
      </c>
      <c r="I864" s="24" t="str">
        <f aca="false">IF(OR(C864="",E864=""),"",IF(H864="Yes",IFERROR(INDEX(Employees!$E$4:$E$43,MATCH(C864,Employees!$B$4:$B$43,0)),0),0))</f>
        <v/>
      </c>
      <c r="J864" s="25" t="str">
        <f aca="false">IF(G864="","",IF(H864="Yes",G864*I864,0))</f>
        <v/>
      </c>
      <c r="K864" s="25" t="str">
        <f aca="false">IF(OR(C864="",G864=""),"",G864*IFERROR(INDEX(Employees!$F$4:$F$43,MATCH(C864,Employees!$B$4:$B$43,0)),0))</f>
        <v/>
      </c>
      <c r="L864" s="28"/>
    </row>
    <row r="865" customFormat="false" ht="15" hidden="false" customHeight="false" outlineLevel="0" collapsed="false">
      <c r="A865" s="26"/>
      <c r="B865" s="27" t="str">
        <f aca="false">IF(A865="","",A865+7-WEEKDAY(A865,1)+1)</f>
        <v/>
      </c>
      <c r="C865" s="28"/>
      <c r="D865" s="29"/>
      <c r="E865" s="28"/>
      <c r="F865" s="28"/>
      <c r="G865" s="30"/>
      <c r="H865" s="31" t="str">
        <f aca="false">IF(E865="","",IFERROR(INDEX(Lists!$C$2:$C$86,MATCH(E865,Lists!$A$2:$A$86,0)),"?"))</f>
        <v/>
      </c>
      <c r="I865" s="32" t="str">
        <f aca="false">IF(OR(C865="",E865=""),"",IF(H865="Yes",IFERROR(INDEX(Employees!$E$4:$E$43,MATCH(C865,Employees!$B$4:$B$43,0)),0),0))</f>
        <v/>
      </c>
      <c r="J865" s="33" t="str">
        <f aca="false">IF(G865="","",IF(H865="Yes",G865*I865,0))</f>
        <v/>
      </c>
      <c r="K865" s="33" t="str">
        <f aca="false">IF(OR(C865="",G865=""),"",G865*IFERROR(INDEX(Employees!$F$4:$F$43,MATCH(C865,Employees!$B$4:$B$43,0)),0))</f>
        <v/>
      </c>
      <c r="L865" s="28"/>
    </row>
    <row r="866" customFormat="false" ht="15" hidden="false" customHeight="false" outlineLevel="0" collapsed="false">
      <c r="A866" s="26"/>
      <c r="B866" s="19" t="str">
        <f aca="false">IF(A866="","",A866+7-WEEKDAY(A866,1)+1)</f>
        <v/>
      </c>
      <c r="C866" s="28"/>
      <c r="D866" s="29"/>
      <c r="E866" s="28"/>
      <c r="F866" s="28"/>
      <c r="G866" s="30"/>
      <c r="H866" s="23" t="str">
        <f aca="false">IF(E866="","",IFERROR(INDEX(Lists!$C$2:$C$86,MATCH(E866,Lists!$A$2:$A$86,0)),"?"))</f>
        <v/>
      </c>
      <c r="I866" s="24" t="str">
        <f aca="false">IF(OR(C866="",E866=""),"",IF(H866="Yes",IFERROR(INDEX(Employees!$E$4:$E$43,MATCH(C866,Employees!$B$4:$B$43,0)),0),0))</f>
        <v/>
      </c>
      <c r="J866" s="25" t="str">
        <f aca="false">IF(G866="","",IF(H866="Yes",G866*I866,0))</f>
        <v/>
      </c>
      <c r="K866" s="25" t="str">
        <f aca="false">IF(OR(C866="",G866=""),"",G866*IFERROR(INDEX(Employees!$F$4:$F$43,MATCH(C866,Employees!$B$4:$B$43,0)),0))</f>
        <v/>
      </c>
      <c r="L866" s="28"/>
    </row>
    <row r="867" customFormat="false" ht="15" hidden="false" customHeight="false" outlineLevel="0" collapsed="false">
      <c r="A867" s="26"/>
      <c r="B867" s="27" t="str">
        <f aca="false">IF(A867="","",A867+7-WEEKDAY(A867,1)+1)</f>
        <v/>
      </c>
      <c r="C867" s="28"/>
      <c r="D867" s="29"/>
      <c r="E867" s="28"/>
      <c r="F867" s="28"/>
      <c r="G867" s="30"/>
      <c r="H867" s="31" t="str">
        <f aca="false">IF(E867="","",IFERROR(INDEX(Lists!$C$2:$C$86,MATCH(E867,Lists!$A$2:$A$86,0)),"?"))</f>
        <v/>
      </c>
      <c r="I867" s="32" t="str">
        <f aca="false">IF(OR(C867="",E867=""),"",IF(H867="Yes",IFERROR(INDEX(Employees!$E$4:$E$43,MATCH(C867,Employees!$B$4:$B$43,0)),0),0))</f>
        <v/>
      </c>
      <c r="J867" s="33" t="str">
        <f aca="false">IF(G867="","",IF(H867="Yes",G867*I867,0))</f>
        <v/>
      </c>
      <c r="K867" s="33" t="str">
        <f aca="false">IF(OR(C867="",G867=""),"",G867*IFERROR(INDEX(Employees!$F$4:$F$43,MATCH(C867,Employees!$B$4:$B$43,0)),0))</f>
        <v/>
      </c>
      <c r="L867" s="28"/>
    </row>
    <row r="868" customFormat="false" ht="15" hidden="false" customHeight="false" outlineLevel="0" collapsed="false">
      <c r="A868" s="26"/>
      <c r="B868" s="19" t="str">
        <f aca="false">IF(A868="","",A868+7-WEEKDAY(A868,1)+1)</f>
        <v/>
      </c>
      <c r="C868" s="28"/>
      <c r="D868" s="29"/>
      <c r="E868" s="28"/>
      <c r="F868" s="28"/>
      <c r="G868" s="30"/>
      <c r="H868" s="23" t="str">
        <f aca="false">IF(E868="","",IFERROR(INDEX(Lists!$C$2:$C$86,MATCH(E868,Lists!$A$2:$A$86,0)),"?"))</f>
        <v/>
      </c>
      <c r="I868" s="24" t="str">
        <f aca="false">IF(OR(C868="",E868=""),"",IF(H868="Yes",IFERROR(INDEX(Employees!$E$4:$E$43,MATCH(C868,Employees!$B$4:$B$43,0)),0),0))</f>
        <v/>
      </c>
      <c r="J868" s="25" t="str">
        <f aca="false">IF(G868="","",IF(H868="Yes",G868*I868,0))</f>
        <v/>
      </c>
      <c r="K868" s="25" t="str">
        <f aca="false">IF(OR(C868="",G868=""),"",G868*IFERROR(INDEX(Employees!$F$4:$F$43,MATCH(C868,Employees!$B$4:$B$43,0)),0))</f>
        <v/>
      </c>
      <c r="L868" s="28"/>
    </row>
    <row r="869" customFormat="false" ht="15" hidden="false" customHeight="false" outlineLevel="0" collapsed="false">
      <c r="A869" s="26"/>
      <c r="B869" s="27" t="str">
        <f aca="false">IF(A869="","",A869+7-WEEKDAY(A869,1)+1)</f>
        <v/>
      </c>
      <c r="C869" s="28"/>
      <c r="D869" s="29"/>
      <c r="E869" s="28"/>
      <c r="F869" s="28"/>
      <c r="G869" s="30"/>
      <c r="H869" s="31" t="str">
        <f aca="false">IF(E869="","",IFERROR(INDEX(Lists!$C$2:$C$86,MATCH(E869,Lists!$A$2:$A$86,0)),"?"))</f>
        <v/>
      </c>
      <c r="I869" s="32" t="str">
        <f aca="false">IF(OR(C869="",E869=""),"",IF(H869="Yes",IFERROR(INDEX(Employees!$E$4:$E$43,MATCH(C869,Employees!$B$4:$B$43,0)),0),0))</f>
        <v/>
      </c>
      <c r="J869" s="33" t="str">
        <f aca="false">IF(G869="","",IF(H869="Yes",G869*I869,0))</f>
        <v/>
      </c>
      <c r="K869" s="33" t="str">
        <f aca="false">IF(OR(C869="",G869=""),"",G869*IFERROR(INDEX(Employees!$F$4:$F$43,MATCH(C869,Employees!$B$4:$B$43,0)),0))</f>
        <v/>
      </c>
      <c r="L869" s="28"/>
    </row>
    <row r="870" customFormat="false" ht="15" hidden="false" customHeight="false" outlineLevel="0" collapsed="false">
      <c r="A870" s="26"/>
      <c r="B870" s="19" t="str">
        <f aca="false">IF(A870="","",A870+7-WEEKDAY(A870,1)+1)</f>
        <v/>
      </c>
      <c r="C870" s="28"/>
      <c r="D870" s="29"/>
      <c r="E870" s="28"/>
      <c r="F870" s="28"/>
      <c r="G870" s="30"/>
      <c r="H870" s="23" t="str">
        <f aca="false">IF(E870="","",IFERROR(INDEX(Lists!$C$2:$C$86,MATCH(E870,Lists!$A$2:$A$86,0)),"?"))</f>
        <v/>
      </c>
      <c r="I870" s="24" t="str">
        <f aca="false">IF(OR(C870="",E870=""),"",IF(H870="Yes",IFERROR(INDEX(Employees!$E$4:$E$43,MATCH(C870,Employees!$B$4:$B$43,0)),0),0))</f>
        <v/>
      </c>
      <c r="J870" s="25" t="str">
        <f aca="false">IF(G870="","",IF(H870="Yes",G870*I870,0))</f>
        <v/>
      </c>
      <c r="K870" s="25" t="str">
        <f aca="false">IF(OR(C870="",G870=""),"",G870*IFERROR(INDEX(Employees!$F$4:$F$43,MATCH(C870,Employees!$B$4:$B$43,0)),0))</f>
        <v/>
      </c>
      <c r="L870" s="28"/>
    </row>
    <row r="871" customFormat="false" ht="15" hidden="false" customHeight="false" outlineLevel="0" collapsed="false">
      <c r="A871" s="26"/>
      <c r="B871" s="27" t="str">
        <f aca="false">IF(A871="","",A871+7-WEEKDAY(A871,1)+1)</f>
        <v/>
      </c>
      <c r="C871" s="28"/>
      <c r="D871" s="29"/>
      <c r="E871" s="28"/>
      <c r="F871" s="28"/>
      <c r="G871" s="30"/>
      <c r="H871" s="31" t="str">
        <f aca="false">IF(E871="","",IFERROR(INDEX(Lists!$C$2:$C$86,MATCH(E871,Lists!$A$2:$A$86,0)),"?"))</f>
        <v/>
      </c>
      <c r="I871" s="32" t="str">
        <f aca="false">IF(OR(C871="",E871=""),"",IF(H871="Yes",IFERROR(INDEX(Employees!$E$4:$E$43,MATCH(C871,Employees!$B$4:$B$43,0)),0),0))</f>
        <v/>
      </c>
      <c r="J871" s="33" t="str">
        <f aca="false">IF(G871="","",IF(H871="Yes",G871*I871,0))</f>
        <v/>
      </c>
      <c r="K871" s="33" t="str">
        <f aca="false">IF(OR(C871="",G871=""),"",G871*IFERROR(INDEX(Employees!$F$4:$F$43,MATCH(C871,Employees!$B$4:$B$43,0)),0))</f>
        <v/>
      </c>
      <c r="L871" s="28"/>
    </row>
    <row r="872" customFormat="false" ht="15" hidden="false" customHeight="false" outlineLevel="0" collapsed="false">
      <c r="A872" s="26"/>
      <c r="B872" s="19" t="str">
        <f aca="false">IF(A872="","",A872+7-WEEKDAY(A872,1)+1)</f>
        <v/>
      </c>
      <c r="C872" s="28"/>
      <c r="D872" s="29"/>
      <c r="E872" s="28"/>
      <c r="F872" s="28"/>
      <c r="G872" s="30"/>
      <c r="H872" s="23" t="str">
        <f aca="false">IF(E872="","",IFERROR(INDEX(Lists!$C$2:$C$86,MATCH(E872,Lists!$A$2:$A$86,0)),"?"))</f>
        <v/>
      </c>
      <c r="I872" s="24" t="str">
        <f aca="false">IF(OR(C872="",E872=""),"",IF(H872="Yes",IFERROR(INDEX(Employees!$E$4:$E$43,MATCH(C872,Employees!$B$4:$B$43,0)),0),0))</f>
        <v/>
      </c>
      <c r="J872" s="25" t="str">
        <f aca="false">IF(G872="","",IF(H872="Yes",G872*I872,0))</f>
        <v/>
      </c>
      <c r="K872" s="25" t="str">
        <f aca="false">IF(OR(C872="",G872=""),"",G872*IFERROR(INDEX(Employees!$F$4:$F$43,MATCH(C872,Employees!$B$4:$B$43,0)),0))</f>
        <v/>
      </c>
      <c r="L872" s="28"/>
    </row>
    <row r="873" customFormat="false" ht="15" hidden="false" customHeight="false" outlineLevel="0" collapsed="false">
      <c r="A873" s="26"/>
      <c r="B873" s="27" t="str">
        <f aca="false">IF(A873="","",A873+7-WEEKDAY(A873,1)+1)</f>
        <v/>
      </c>
      <c r="C873" s="28"/>
      <c r="D873" s="29"/>
      <c r="E873" s="28"/>
      <c r="F873" s="28"/>
      <c r="G873" s="30"/>
      <c r="H873" s="31" t="str">
        <f aca="false">IF(E873="","",IFERROR(INDEX(Lists!$C$2:$C$86,MATCH(E873,Lists!$A$2:$A$86,0)),"?"))</f>
        <v/>
      </c>
      <c r="I873" s="32" t="str">
        <f aca="false">IF(OR(C873="",E873=""),"",IF(H873="Yes",IFERROR(INDEX(Employees!$E$4:$E$43,MATCH(C873,Employees!$B$4:$B$43,0)),0),0))</f>
        <v/>
      </c>
      <c r="J873" s="33" t="str">
        <f aca="false">IF(G873="","",IF(H873="Yes",G873*I873,0))</f>
        <v/>
      </c>
      <c r="K873" s="33" t="str">
        <f aca="false">IF(OR(C873="",G873=""),"",G873*IFERROR(INDEX(Employees!$F$4:$F$43,MATCH(C873,Employees!$B$4:$B$43,0)),0))</f>
        <v/>
      </c>
      <c r="L873" s="28"/>
    </row>
    <row r="874" customFormat="false" ht="15" hidden="false" customHeight="false" outlineLevel="0" collapsed="false">
      <c r="A874" s="26"/>
      <c r="B874" s="19" t="str">
        <f aca="false">IF(A874="","",A874+7-WEEKDAY(A874,1)+1)</f>
        <v/>
      </c>
      <c r="C874" s="28"/>
      <c r="D874" s="29"/>
      <c r="E874" s="28"/>
      <c r="F874" s="28"/>
      <c r="G874" s="30"/>
      <c r="H874" s="23" t="str">
        <f aca="false">IF(E874="","",IFERROR(INDEX(Lists!$C$2:$C$86,MATCH(E874,Lists!$A$2:$A$86,0)),"?"))</f>
        <v/>
      </c>
      <c r="I874" s="24" t="str">
        <f aca="false">IF(OR(C874="",E874=""),"",IF(H874="Yes",IFERROR(INDEX(Employees!$E$4:$E$43,MATCH(C874,Employees!$B$4:$B$43,0)),0),0))</f>
        <v/>
      </c>
      <c r="J874" s="25" t="str">
        <f aca="false">IF(G874="","",IF(H874="Yes",G874*I874,0))</f>
        <v/>
      </c>
      <c r="K874" s="25" t="str">
        <f aca="false">IF(OR(C874="",G874=""),"",G874*IFERROR(INDEX(Employees!$F$4:$F$43,MATCH(C874,Employees!$B$4:$B$43,0)),0))</f>
        <v/>
      </c>
      <c r="L874" s="28"/>
    </row>
    <row r="875" customFormat="false" ht="15" hidden="false" customHeight="false" outlineLevel="0" collapsed="false">
      <c r="A875" s="26"/>
      <c r="B875" s="27" t="str">
        <f aca="false">IF(A875="","",A875+7-WEEKDAY(A875,1)+1)</f>
        <v/>
      </c>
      <c r="C875" s="28"/>
      <c r="D875" s="29"/>
      <c r="E875" s="28"/>
      <c r="F875" s="28"/>
      <c r="G875" s="30"/>
      <c r="H875" s="31" t="str">
        <f aca="false">IF(E875="","",IFERROR(INDEX(Lists!$C$2:$C$86,MATCH(E875,Lists!$A$2:$A$86,0)),"?"))</f>
        <v/>
      </c>
      <c r="I875" s="32" t="str">
        <f aca="false">IF(OR(C875="",E875=""),"",IF(H875="Yes",IFERROR(INDEX(Employees!$E$4:$E$43,MATCH(C875,Employees!$B$4:$B$43,0)),0),0))</f>
        <v/>
      </c>
      <c r="J875" s="33" t="str">
        <f aca="false">IF(G875="","",IF(H875="Yes",G875*I875,0))</f>
        <v/>
      </c>
      <c r="K875" s="33" t="str">
        <f aca="false">IF(OR(C875="",G875=""),"",G875*IFERROR(INDEX(Employees!$F$4:$F$43,MATCH(C875,Employees!$B$4:$B$43,0)),0))</f>
        <v/>
      </c>
      <c r="L875" s="28"/>
    </row>
    <row r="876" customFormat="false" ht="15" hidden="false" customHeight="false" outlineLevel="0" collapsed="false">
      <c r="A876" s="26"/>
      <c r="B876" s="19" t="str">
        <f aca="false">IF(A876="","",A876+7-WEEKDAY(A876,1)+1)</f>
        <v/>
      </c>
      <c r="C876" s="28"/>
      <c r="D876" s="29"/>
      <c r="E876" s="28"/>
      <c r="F876" s="28"/>
      <c r="G876" s="30"/>
      <c r="H876" s="23" t="str">
        <f aca="false">IF(E876="","",IFERROR(INDEX(Lists!$C$2:$C$86,MATCH(E876,Lists!$A$2:$A$86,0)),"?"))</f>
        <v/>
      </c>
      <c r="I876" s="24" t="str">
        <f aca="false">IF(OR(C876="",E876=""),"",IF(H876="Yes",IFERROR(INDEX(Employees!$E$4:$E$43,MATCH(C876,Employees!$B$4:$B$43,0)),0),0))</f>
        <v/>
      </c>
      <c r="J876" s="25" t="str">
        <f aca="false">IF(G876="","",IF(H876="Yes",G876*I876,0))</f>
        <v/>
      </c>
      <c r="K876" s="25" t="str">
        <f aca="false">IF(OR(C876="",G876=""),"",G876*IFERROR(INDEX(Employees!$F$4:$F$43,MATCH(C876,Employees!$B$4:$B$43,0)),0))</f>
        <v/>
      </c>
      <c r="L876" s="28"/>
    </row>
    <row r="877" customFormat="false" ht="15" hidden="false" customHeight="false" outlineLevel="0" collapsed="false">
      <c r="A877" s="26"/>
      <c r="B877" s="27" t="str">
        <f aca="false">IF(A877="","",A877+7-WEEKDAY(A877,1)+1)</f>
        <v/>
      </c>
      <c r="C877" s="28"/>
      <c r="D877" s="29"/>
      <c r="E877" s="28"/>
      <c r="F877" s="28"/>
      <c r="G877" s="30"/>
      <c r="H877" s="31" t="str">
        <f aca="false">IF(E877="","",IFERROR(INDEX(Lists!$C$2:$C$86,MATCH(E877,Lists!$A$2:$A$86,0)),"?"))</f>
        <v/>
      </c>
      <c r="I877" s="32" t="str">
        <f aca="false">IF(OR(C877="",E877=""),"",IF(H877="Yes",IFERROR(INDEX(Employees!$E$4:$E$43,MATCH(C877,Employees!$B$4:$B$43,0)),0),0))</f>
        <v/>
      </c>
      <c r="J877" s="33" t="str">
        <f aca="false">IF(G877="","",IF(H877="Yes",G877*I877,0))</f>
        <v/>
      </c>
      <c r="K877" s="33" t="str">
        <f aca="false">IF(OR(C877="",G877=""),"",G877*IFERROR(INDEX(Employees!$F$4:$F$43,MATCH(C877,Employees!$B$4:$B$43,0)),0))</f>
        <v/>
      </c>
      <c r="L877" s="28"/>
    </row>
    <row r="878" customFormat="false" ht="15" hidden="false" customHeight="false" outlineLevel="0" collapsed="false">
      <c r="A878" s="26"/>
      <c r="B878" s="19" t="str">
        <f aca="false">IF(A878="","",A878+7-WEEKDAY(A878,1)+1)</f>
        <v/>
      </c>
      <c r="C878" s="28"/>
      <c r="D878" s="29"/>
      <c r="E878" s="28"/>
      <c r="F878" s="28"/>
      <c r="G878" s="30"/>
      <c r="H878" s="23" t="str">
        <f aca="false">IF(E878="","",IFERROR(INDEX(Lists!$C$2:$C$86,MATCH(E878,Lists!$A$2:$A$86,0)),"?"))</f>
        <v/>
      </c>
      <c r="I878" s="24" t="str">
        <f aca="false">IF(OR(C878="",E878=""),"",IF(H878="Yes",IFERROR(INDEX(Employees!$E$4:$E$43,MATCH(C878,Employees!$B$4:$B$43,0)),0),0))</f>
        <v/>
      </c>
      <c r="J878" s="25" t="str">
        <f aca="false">IF(G878="","",IF(H878="Yes",G878*I878,0))</f>
        <v/>
      </c>
      <c r="K878" s="25" t="str">
        <f aca="false">IF(OR(C878="",G878=""),"",G878*IFERROR(INDEX(Employees!$F$4:$F$43,MATCH(C878,Employees!$B$4:$B$43,0)),0))</f>
        <v/>
      </c>
      <c r="L878" s="28"/>
    </row>
    <row r="879" customFormat="false" ht="15" hidden="false" customHeight="false" outlineLevel="0" collapsed="false">
      <c r="A879" s="26"/>
      <c r="B879" s="27" t="str">
        <f aca="false">IF(A879="","",A879+7-WEEKDAY(A879,1)+1)</f>
        <v/>
      </c>
      <c r="C879" s="28"/>
      <c r="D879" s="29"/>
      <c r="E879" s="28"/>
      <c r="F879" s="28"/>
      <c r="G879" s="30"/>
      <c r="H879" s="31" t="str">
        <f aca="false">IF(E879="","",IFERROR(INDEX(Lists!$C$2:$C$86,MATCH(E879,Lists!$A$2:$A$86,0)),"?"))</f>
        <v/>
      </c>
      <c r="I879" s="32" t="str">
        <f aca="false">IF(OR(C879="",E879=""),"",IF(H879="Yes",IFERROR(INDEX(Employees!$E$4:$E$43,MATCH(C879,Employees!$B$4:$B$43,0)),0),0))</f>
        <v/>
      </c>
      <c r="J879" s="33" t="str">
        <f aca="false">IF(G879="","",IF(H879="Yes",G879*I879,0))</f>
        <v/>
      </c>
      <c r="K879" s="33" t="str">
        <f aca="false">IF(OR(C879="",G879=""),"",G879*IFERROR(INDEX(Employees!$F$4:$F$43,MATCH(C879,Employees!$B$4:$B$43,0)),0))</f>
        <v/>
      </c>
      <c r="L879" s="28"/>
    </row>
    <row r="880" customFormat="false" ht="15" hidden="false" customHeight="false" outlineLevel="0" collapsed="false">
      <c r="A880" s="26"/>
      <c r="B880" s="19" t="str">
        <f aca="false">IF(A880="","",A880+7-WEEKDAY(A880,1)+1)</f>
        <v/>
      </c>
      <c r="C880" s="28"/>
      <c r="D880" s="29"/>
      <c r="E880" s="28"/>
      <c r="F880" s="28"/>
      <c r="G880" s="30"/>
      <c r="H880" s="23" t="str">
        <f aca="false">IF(E880="","",IFERROR(INDEX(Lists!$C$2:$C$86,MATCH(E880,Lists!$A$2:$A$86,0)),"?"))</f>
        <v/>
      </c>
      <c r="I880" s="24" t="str">
        <f aca="false">IF(OR(C880="",E880=""),"",IF(H880="Yes",IFERROR(INDEX(Employees!$E$4:$E$43,MATCH(C880,Employees!$B$4:$B$43,0)),0),0))</f>
        <v/>
      </c>
      <c r="J880" s="25" t="str">
        <f aca="false">IF(G880="","",IF(H880="Yes",G880*I880,0))</f>
        <v/>
      </c>
      <c r="K880" s="25" t="str">
        <f aca="false">IF(OR(C880="",G880=""),"",G880*IFERROR(INDEX(Employees!$F$4:$F$43,MATCH(C880,Employees!$B$4:$B$43,0)),0))</f>
        <v/>
      </c>
      <c r="L880" s="28"/>
    </row>
    <row r="881" customFormat="false" ht="15" hidden="false" customHeight="false" outlineLevel="0" collapsed="false">
      <c r="A881" s="26"/>
      <c r="B881" s="27" t="str">
        <f aca="false">IF(A881="","",A881+7-WEEKDAY(A881,1)+1)</f>
        <v/>
      </c>
      <c r="C881" s="28"/>
      <c r="D881" s="29"/>
      <c r="E881" s="28"/>
      <c r="F881" s="28"/>
      <c r="G881" s="30"/>
      <c r="H881" s="31" t="str">
        <f aca="false">IF(E881="","",IFERROR(INDEX(Lists!$C$2:$C$86,MATCH(E881,Lists!$A$2:$A$86,0)),"?"))</f>
        <v/>
      </c>
      <c r="I881" s="32" t="str">
        <f aca="false">IF(OR(C881="",E881=""),"",IF(H881="Yes",IFERROR(INDEX(Employees!$E$4:$E$43,MATCH(C881,Employees!$B$4:$B$43,0)),0),0))</f>
        <v/>
      </c>
      <c r="J881" s="33" t="str">
        <f aca="false">IF(G881="","",IF(H881="Yes",G881*I881,0))</f>
        <v/>
      </c>
      <c r="K881" s="33" t="str">
        <f aca="false">IF(OR(C881="",G881=""),"",G881*IFERROR(INDEX(Employees!$F$4:$F$43,MATCH(C881,Employees!$B$4:$B$43,0)),0))</f>
        <v/>
      </c>
      <c r="L881" s="28"/>
    </row>
    <row r="882" customFormat="false" ht="15" hidden="false" customHeight="false" outlineLevel="0" collapsed="false">
      <c r="A882" s="26"/>
      <c r="B882" s="19" t="str">
        <f aca="false">IF(A882="","",A882+7-WEEKDAY(A882,1)+1)</f>
        <v/>
      </c>
      <c r="C882" s="28"/>
      <c r="D882" s="29"/>
      <c r="E882" s="28"/>
      <c r="F882" s="28"/>
      <c r="G882" s="30"/>
      <c r="H882" s="23" t="str">
        <f aca="false">IF(E882="","",IFERROR(INDEX(Lists!$C$2:$C$86,MATCH(E882,Lists!$A$2:$A$86,0)),"?"))</f>
        <v/>
      </c>
      <c r="I882" s="24" t="str">
        <f aca="false">IF(OR(C882="",E882=""),"",IF(H882="Yes",IFERROR(INDEX(Employees!$E$4:$E$43,MATCH(C882,Employees!$B$4:$B$43,0)),0),0))</f>
        <v/>
      </c>
      <c r="J882" s="25" t="str">
        <f aca="false">IF(G882="","",IF(H882="Yes",G882*I882,0))</f>
        <v/>
      </c>
      <c r="K882" s="25" t="str">
        <f aca="false">IF(OR(C882="",G882=""),"",G882*IFERROR(INDEX(Employees!$F$4:$F$43,MATCH(C882,Employees!$B$4:$B$43,0)),0))</f>
        <v/>
      </c>
      <c r="L882" s="28"/>
    </row>
    <row r="883" customFormat="false" ht="15" hidden="false" customHeight="false" outlineLevel="0" collapsed="false">
      <c r="A883" s="26"/>
      <c r="B883" s="27" t="str">
        <f aca="false">IF(A883="","",A883+7-WEEKDAY(A883,1)+1)</f>
        <v/>
      </c>
      <c r="C883" s="28"/>
      <c r="D883" s="29"/>
      <c r="E883" s="28"/>
      <c r="F883" s="28"/>
      <c r="G883" s="30"/>
      <c r="H883" s="31" t="str">
        <f aca="false">IF(E883="","",IFERROR(INDEX(Lists!$C$2:$C$86,MATCH(E883,Lists!$A$2:$A$86,0)),"?"))</f>
        <v/>
      </c>
      <c r="I883" s="32" t="str">
        <f aca="false">IF(OR(C883="",E883=""),"",IF(H883="Yes",IFERROR(INDEX(Employees!$E$4:$E$43,MATCH(C883,Employees!$B$4:$B$43,0)),0),0))</f>
        <v/>
      </c>
      <c r="J883" s="33" t="str">
        <f aca="false">IF(G883="","",IF(H883="Yes",G883*I883,0))</f>
        <v/>
      </c>
      <c r="K883" s="33" t="str">
        <f aca="false">IF(OR(C883="",G883=""),"",G883*IFERROR(INDEX(Employees!$F$4:$F$43,MATCH(C883,Employees!$B$4:$B$43,0)),0))</f>
        <v/>
      </c>
      <c r="L883" s="28"/>
    </row>
    <row r="884" customFormat="false" ht="15" hidden="false" customHeight="false" outlineLevel="0" collapsed="false">
      <c r="A884" s="26"/>
      <c r="B884" s="19" t="str">
        <f aca="false">IF(A884="","",A884+7-WEEKDAY(A884,1)+1)</f>
        <v/>
      </c>
      <c r="C884" s="28"/>
      <c r="D884" s="29"/>
      <c r="E884" s="28"/>
      <c r="F884" s="28"/>
      <c r="G884" s="30"/>
      <c r="H884" s="23" t="str">
        <f aca="false">IF(E884="","",IFERROR(INDEX(Lists!$C$2:$C$86,MATCH(E884,Lists!$A$2:$A$86,0)),"?"))</f>
        <v/>
      </c>
      <c r="I884" s="24" t="str">
        <f aca="false">IF(OR(C884="",E884=""),"",IF(H884="Yes",IFERROR(INDEX(Employees!$E$4:$E$43,MATCH(C884,Employees!$B$4:$B$43,0)),0),0))</f>
        <v/>
      </c>
      <c r="J884" s="25" t="str">
        <f aca="false">IF(G884="","",IF(H884="Yes",G884*I884,0))</f>
        <v/>
      </c>
      <c r="K884" s="25" t="str">
        <f aca="false">IF(OR(C884="",G884=""),"",G884*IFERROR(INDEX(Employees!$F$4:$F$43,MATCH(C884,Employees!$B$4:$B$43,0)),0))</f>
        <v/>
      </c>
      <c r="L884" s="28"/>
    </row>
    <row r="885" customFormat="false" ht="15" hidden="false" customHeight="false" outlineLevel="0" collapsed="false">
      <c r="A885" s="26"/>
      <c r="B885" s="27" t="str">
        <f aca="false">IF(A885="","",A885+7-WEEKDAY(A885,1)+1)</f>
        <v/>
      </c>
      <c r="C885" s="28"/>
      <c r="D885" s="29"/>
      <c r="E885" s="28"/>
      <c r="F885" s="28"/>
      <c r="G885" s="30"/>
      <c r="H885" s="31" t="str">
        <f aca="false">IF(E885="","",IFERROR(INDEX(Lists!$C$2:$C$86,MATCH(E885,Lists!$A$2:$A$86,0)),"?"))</f>
        <v/>
      </c>
      <c r="I885" s="32" t="str">
        <f aca="false">IF(OR(C885="",E885=""),"",IF(H885="Yes",IFERROR(INDEX(Employees!$E$4:$E$43,MATCH(C885,Employees!$B$4:$B$43,0)),0),0))</f>
        <v/>
      </c>
      <c r="J885" s="33" t="str">
        <f aca="false">IF(G885="","",IF(H885="Yes",G885*I885,0))</f>
        <v/>
      </c>
      <c r="K885" s="33" t="str">
        <f aca="false">IF(OR(C885="",G885=""),"",G885*IFERROR(INDEX(Employees!$F$4:$F$43,MATCH(C885,Employees!$B$4:$B$43,0)),0))</f>
        <v/>
      </c>
      <c r="L885" s="28"/>
    </row>
    <row r="886" customFormat="false" ht="15" hidden="false" customHeight="false" outlineLevel="0" collapsed="false">
      <c r="A886" s="26"/>
      <c r="B886" s="19" t="str">
        <f aca="false">IF(A886="","",A886+7-WEEKDAY(A886,1)+1)</f>
        <v/>
      </c>
      <c r="C886" s="28"/>
      <c r="D886" s="29"/>
      <c r="E886" s="28"/>
      <c r="F886" s="28"/>
      <c r="G886" s="30"/>
      <c r="H886" s="23" t="str">
        <f aca="false">IF(E886="","",IFERROR(INDEX(Lists!$C$2:$C$86,MATCH(E886,Lists!$A$2:$A$86,0)),"?"))</f>
        <v/>
      </c>
      <c r="I886" s="24" t="str">
        <f aca="false">IF(OR(C886="",E886=""),"",IF(H886="Yes",IFERROR(INDEX(Employees!$E$4:$E$43,MATCH(C886,Employees!$B$4:$B$43,0)),0),0))</f>
        <v/>
      </c>
      <c r="J886" s="25" t="str">
        <f aca="false">IF(G886="","",IF(H886="Yes",G886*I886,0))</f>
        <v/>
      </c>
      <c r="K886" s="25" t="str">
        <f aca="false">IF(OR(C886="",G886=""),"",G886*IFERROR(INDEX(Employees!$F$4:$F$43,MATCH(C886,Employees!$B$4:$B$43,0)),0))</f>
        <v/>
      </c>
      <c r="L886" s="28"/>
    </row>
    <row r="887" customFormat="false" ht="15" hidden="false" customHeight="false" outlineLevel="0" collapsed="false">
      <c r="A887" s="26"/>
      <c r="B887" s="27" t="str">
        <f aca="false">IF(A887="","",A887+7-WEEKDAY(A887,1)+1)</f>
        <v/>
      </c>
      <c r="C887" s="28"/>
      <c r="D887" s="29"/>
      <c r="E887" s="28"/>
      <c r="F887" s="28"/>
      <c r="G887" s="30"/>
      <c r="H887" s="31" t="str">
        <f aca="false">IF(E887="","",IFERROR(INDEX(Lists!$C$2:$C$86,MATCH(E887,Lists!$A$2:$A$86,0)),"?"))</f>
        <v/>
      </c>
      <c r="I887" s="32" t="str">
        <f aca="false">IF(OR(C887="",E887=""),"",IF(H887="Yes",IFERROR(INDEX(Employees!$E$4:$E$43,MATCH(C887,Employees!$B$4:$B$43,0)),0),0))</f>
        <v/>
      </c>
      <c r="J887" s="33" t="str">
        <f aca="false">IF(G887="","",IF(H887="Yes",G887*I887,0))</f>
        <v/>
      </c>
      <c r="K887" s="33" t="str">
        <f aca="false">IF(OR(C887="",G887=""),"",G887*IFERROR(INDEX(Employees!$F$4:$F$43,MATCH(C887,Employees!$B$4:$B$43,0)),0))</f>
        <v/>
      </c>
      <c r="L887" s="28"/>
    </row>
    <row r="888" customFormat="false" ht="15" hidden="false" customHeight="false" outlineLevel="0" collapsed="false">
      <c r="A888" s="26"/>
      <c r="B888" s="19" t="str">
        <f aca="false">IF(A888="","",A888+7-WEEKDAY(A888,1)+1)</f>
        <v/>
      </c>
      <c r="C888" s="28"/>
      <c r="D888" s="29"/>
      <c r="E888" s="28"/>
      <c r="F888" s="28"/>
      <c r="G888" s="30"/>
      <c r="H888" s="23" t="str">
        <f aca="false">IF(E888="","",IFERROR(INDEX(Lists!$C$2:$C$86,MATCH(E888,Lists!$A$2:$A$86,0)),"?"))</f>
        <v/>
      </c>
      <c r="I888" s="24" t="str">
        <f aca="false">IF(OR(C888="",E888=""),"",IF(H888="Yes",IFERROR(INDEX(Employees!$E$4:$E$43,MATCH(C888,Employees!$B$4:$B$43,0)),0),0))</f>
        <v/>
      </c>
      <c r="J888" s="25" t="str">
        <f aca="false">IF(G888="","",IF(H888="Yes",G888*I888,0))</f>
        <v/>
      </c>
      <c r="K888" s="25" t="str">
        <f aca="false">IF(OR(C888="",G888=""),"",G888*IFERROR(INDEX(Employees!$F$4:$F$43,MATCH(C888,Employees!$B$4:$B$43,0)),0))</f>
        <v/>
      </c>
      <c r="L888" s="28"/>
    </row>
    <row r="889" customFormat="false" ht="15" hidden="false" customHeight="false" outlineLevel="0" collapsed="false">
      <c r="A889" s="26"/>
      <c r="B889" s="27" t="str">
        <f aca="false">IF(A889="","",A889+7-WEEKDAY(A889,1)+1)</f>
        <v/>
      </c>
      <c r="C889" s="28"/>
      <c r="D889" s="29"/>
      <c r="E889" s="28"/>
      <c r="F889" s="28"/>
      <c r="G889" s="30"/>
      <c r="H889" s="31" t="str">
        <f aca="false">IF(E889="","",IFERROR(INDEX(Lists!$C$2:$C$86,MATCH(E889,Lists!$A$2:$A$86,0)),"?"))</f>
        <v/>
      </c>
      <c r="I889" s="32" t="str">
        <f aca="false">IF(OR(C889="",E889=""),"",IF(H889="Yes",IFERROR(INDEX(Employees!$E$4:$E$43,MATCH(C889,Employees!$B$4:$B$43,0)),0),0))</f>
        <v/>
      </c>
      <c r="J889" s="33" t="str">
        <f aca="false">IF(G889="","",IF(H889="Yes",G889*I889,0))</f>
        <v/>
      </c>
      <c r="K889" s="33" t="str">
        <f aca="false">IF(OR(C889="",G889=""),"",G889*IFERROR(INDEX(Employees!$F$4:$F$43,MATCH(C889,Employees!$B$4:$B$43,0)),0))</f>
        <v/>
      </c>
      <c r="L889" s="28"/>
    </row>
    <row r="890" customFormat="false" ht="15" hidden="false" customHeight="false" outlineLevel="0" collapsed="false">
      <c r="A890" s="26"/>
      <c r="B890" s="19" t="str">
        <f aca="false">IF(A890="","",A890+7-WEEKDAY(A890,1)+1)</f>
        <v/>
      </c>
      <c r="C890" s="28"/>
      <c r="D890" s="29"/>
      <c r="E890" s="28"/>
      <c r="F890" s="28"/>
      <c r="G890" s="30"/>
      <c r="H890" s="23" t="str">
        <f aca="false">IF(E890="","",IFERROR(INDEX(Lists!$C$2:$C$86,MATCH(E890,Lists!$A$2:$A$86,0)),"?"))</f>
        <v/>
      </c>
      <c r="I890" s="24" t="str">
        <f aca="false">IF(OR(C890="",E890=""),"",IF(H890="Yes",IFERROR(INDEX(Employees!$E$4:$E$43,MATCH(C890,Employees!$B$4:$B$43,0)),0),0))</f>
        <v/>
      </c>
      <c r="J890" s="25" t="str">
        <f aca="false">IF(G890="","",IF(H890="Yes",G890*I890,0))</f>
        <v/>
      </c>
      <c r="K890" s="25" t="str">
        <f aca="false">IF(OR(C890="",G890=""),"",G890*IFERROR(INDEX(Employees!$F$4:$F$43,MATCH(C890,Employees!$B$4:$B$43,0)),0))</f>
        <v/>
      </c>
      <c r="L890" s="28"/>
    </row>
    <row r="891" customFormat="false" ht="15" hidden="false" customHeight="false" outlineLevel="0" collapsed="false">
      <c r="A891" s="26"/>
      <c r="B891" s="27" t="str">
        <f aca="false">IF(A891="","",A891+7-WEEKDAY(A891,1)+1)</f>
        <v/>
      </c>
      <c r="C891" s="28"/>
      <c r="D891" s="29"/>
      <c r="E891" s="28"/>
      <c r="F891" s="28"/>
      <c r="G891" s="30"/>
      <c r="H891" s="31" t="str">
        <f aca="false">IF(E891="","",IFERROR(INDEX(Lists!$C$2:$C$86,MATCH(E891,Lists!$A$2:$A$86,0)),"?"))</f>
        <v/>
      </c>
      <c r="I891" s="32" t="str">
        <f aca="false">IF(OR(C891="",E891=""),"",IF(H891="Yes",IFERROR(INDEX(Employees!$E$4:$E$43,MATCH(C891,Employees!$B$4:$B$43,0)),0),0))</f>
        <v/>
      </c>
      <c r="J891" s="33" t="str">
        <f aca="false">IF(G891="","",IF(H891="Yes",G891*I891,0))</f>
        <v/>
      </c>
      <c r="K891" s="33" t="str">
        <f aca="false">IF(OR(C891="",G891=""),"",G891*IFERROR(INDEX(Employees!$F$4:$F$43,MATCH(C891,Employees!$B$4:$B$43,0)),0))</f>
        <v/>
      </c>
      <c r="L891" s="28"/>
    </row>
    <row r="892" customFormat="false" ht="15" hidden="false" customHeight="false" outlineLevel="0" collapsed="false">
      <c r="A892" s="26"/>
      <c r="B892" s="19" t="str">
        <f aca="false">IF(A892="","",A892+7-WEEKDAY(A892,1)+1)</f>
        <v/>
      </c>
      <c r="C892" s="28"/>
      <c r="D892" s="29"/>
      <c r="E892" s="28"/>
      <c r="F892" s="28"/>
      <c r="G892" s="30"/>
      <c r="H892" s="23" t="str">
        <f aca="false">IF(E892="","",IFERROR(INDEX(Lists!$C$2:$C$86,MATCH(E892,Lists!$A$2:$A$86,0)),"?"))</f>
        <v/>
      </c>
      <c r="I892" s="24" t="str">
        <f aca="false">IF(OR(C892="",E892=""),"",IF(H892="Yes",IFERROR(INDEX(Employees!$E$4:$E$43,MATCH(C892,Employees!$B$4:$B$43,0)),0),0))</f>
        <v/>
      </c>
      <c r="J892" s="25" t="str">
        <f aca="false">IF(G892="","",IF(H892="Yes",G892*I892,0))</f>
        <v/>
      </c>
      <c r="K892" s="25" t="str">
        <f aca="false">IF(OR(C892="",G892=""),"",G892*IFERROR(INDEX(Employees!$F$4:$F$43,MATCH(C892,Employees!$B$4:$B$43,0)),0))</f>
        <v/>
      </c>
      <c r="L892" s="28"/>
    </row>
    <row r="893" customFormat="false" ht="15" hidden="false" customHeight="false" outlineLevel="0" collapsed="false">
      <c r="A893" s="26"/>
      <c r="B893" s="27" t="str">
        <f aca="false">IF(A893="","",A893+7-WEEKDAY(A893,1)+1)</f>
        <v/>
      </c>
      <c r="C893" s="28"/>
      <c r="D893" s="29"/>
      <c r="E893" s="28"/>
      <c r="F893" s="28"/>
      <c r="G893" s="30"/>
      <c r="H893" s="31" t="str">
        <f aca="false">IF(E893="","",IFERROR(INDEX(Lists!$C$2:$C$86,MATCH(E893,Lists!$A$2:$A$86,0)),"?"))</f>
        <v/>
      </c>
      <c r="I893" s="32" t="str">
        <f aca="false">IF(OR(C893="",E893=""),"",IF(H893="Yes",IFERROR(INDEX(Employees!$E$4:$E$43,MATCH(C893,Employees!$B$4:$B$43,0)),0),0))</f>
        <v/>
      </c>
      <c r="J893" s="33" t="str">
        <f aca="false">IF(G893="","",IF(H893="Yes",G893*I893,0))</f>
        <v/>
      </c>
      <c r="K893" s="33" t="str">
        <f aca="false">IF(OR(C893="",G893=""),"",G893*IFERROR(INDEX(Employees!$F$4:$F$43,MATCH(C893,Employees!$B$4:$B$43,0)),0))</f>
        <v/>
      </c>
      <c r="L893" s="28"/>
    </row>
    <row r="894" customFormat="false" ht="15" hidden="false" customHeight="false" outlineLevel="0" collapsed="false">
      <c r="A894" s="26"/>
      <c r="B894" s="19" t="str">
        <f aca="false">IF(A894="","",A894+7-WEEKDAY(A894,1)+1)</f>
        <v/>
      </c>
      <c r="C894" s="28"/>
      <c r="D894" s="29"/>
      <c r="E894" s="28"/>
      <c r="F894" s="28"/>
      <c r="G894" s="30"/>
      <c r="H894" s="23" t="str">
        <f aca="false">IF(E894="","",IFERROR(INDEX(Lists!$C$2:$C$86,MATCH(E894,Lists!$A$2:$A$86,0)),"?"))</f>
        <v/>
      </c>
      <c r="I894" s="24" t="str">
        <f aca="false">IF(OR(C894="",E894=""),"",IF(H894="Yes",IFERROR(INDEX(Employees!$E$4:$E$43,MATCH(C894,Employees!$B$4:$B$43,0)),0),0))</f>
        <v/>
      </c>
      <c r="J894" s="25" t="str">
        <f aca="false">IF(G894="","",IF(H894="Yes",G894*I894,0))</f>
        <v/>
      </c>
      <c r="K894" s="25" t="str">
        <f aca="false">IF(OR(C894="",G894=""),"",G894*IFERROR(INDEX(Employees!$F$4:$F$43,MATCH(C894,Employees!$B$4:$B$43,0)),0))</f>
        <v/>
      </c>
      <c r="L894" s="28"/>
    </row>
    <row r="895" customFormat="false" ht="15" hidden="false" customHeight="false" outlineLevel="0" collapsed="false">
      <c r="A895" s="26"/>
      <c r="B895" s="27" t="str">
        <f aca="false">IF(A895="","",A895+7-WEEKDAY(A895,1)+1)</f>
        <v/>
      </c>
      <c r="C895" s="28"/>
      <c r="D895" s="29"/>
      <c r="E895" s="28"/>
      <c r="F895" s="28"/>
      <c r="G895" s="30"/>
      <c r="H895" s="31" t="str">
        <f aca="false">IF(E895="","",IFERROR(INDEX(Lists!$C$2:$C$86,MATCH(E895,Lists!$A$2:$A$86,0)),"?"))</f>
        <v/>
      </c>
      <c r="I895" s="32" t="str">
        <f aca="false">IF(OR(C895="",E895=""),"",IF(H895="Yes",IFERROR(INDEX(Employees!$E$4:$E$43,MATCH(C895,Employees!$B$4:$B$43,0)),0),0))</f>
        <v/>
      </c>
      <c r="J895" s="33" t="str">
        <f aca="false">IF(G895="","",IF(H895="Yes",G895*I895,0))</f>
        <v/>
      </c>
      <c r="K895" s="33" t="str">
        <f aca="false">IF(OR(C895="",G895=""),"",G895*IFERROR(INDEX(Employees!$F$4:$F$43,MATCH(C895,Employees!$B$4:$B$43,0)),0))</f>
        <v/>
      </c>
      <c r="L895" s="28"/>
    </row>
    <row r="896" customFormat="false" ht="15" hidden="false" customHeight="false" outlineLevel="0" collapsed="false">
      <c r="A896" s="26"/>
      <c r="B896" s="19" t="str">
        <f aca="false">IF(A896="","",A896+7-WEEKDAY(A896,1)+1)</f>
        <v/>
      </c>
      <c r="C896" s="28"/>
      <c r="D896" s="29"/>
      <c r="E896" s="28"/>
      <c r="F896" s="28"/>
      <c r="G896" s="30"/>
      <c r="H896" s="23" t="str">
        <f aca="false">IF(E896="","",IFERROR(INDEX(Lists!$C$2:$C$86,MATCH(E896,Lists!$A$2:$A$86,0)),"?"))</f>
        <v/>
      </c>
      <c r="I896" s="24" t="str">
        <f aca="false">IF(OR(C896="",E896=""),"",IF(H896="Yes",IFERROR(INDEX(Employees!$E$4:$E$43,MATCH(C896,Employees!$B$4:$B$43,0)),0),0))</f>
        <v/>
      </c>
      <c r="J896" s="25" t="str">
        <f aca="false">IF(G896="","",IF(H896="Yes",G896*I896,0))</f>
        <v/>
      </c>
      <c r="K896" s="25" t="str">
        <f aca="false">IF(OR(C896="",G896=""),"",G896*IFERROR(INDEX(Employees!$F$4:$F$43,MATCH(C896,Employees!$B$4:$B$43,0)),0))</f>
        <v/>
      </c>
      <c r="L896" s="28"/>
    </row>
    <row r="897" customFormat="false" ht="15" hidden="false" customHeight="false" outlineLevel="0" collapsed="false">
      <c r="A897" s="26"/>
      <c r="B897" s="27" t="str">
        <f aca="false">IF(A897="","",A897+7-WEEKDAY(A897,1)+1)</f>
        <v/>
      </c>
      <c r="C897" s="28"/>
      <c r="D897" s="29"/>
      <c r="E897" s="28"/>
      <c r="F897" s="28"/>
      <c r="G897" s="30"/>
      <c r="H897" s="31" t="str">
        <f aca="false">IF(E897="","",IFERROR(INDEX(Lists!$C$2:$C$86,MATCH(E897,Lists!$A$2:$A$86,0)),"?"))</f>
        <v/>
      </c>
      <c r="I897" s="32" t="str">
        <f aca="false">IF(OR(C897="",E897=""),"",IF(H897="Yes",IFERROR(INDEX(Employees!$E$4:$E$43,MATCH(C897,Employees!$B$4:$B$43,0)),0),0))</f>
        <v/>
      </c>
      <c r="J897" s="33" t="str">
        <f aca="false">IF(G897="","",IF(H897="Yes",G897*I897,0))</f>
        <v/>
      </c>
      <c r="K897" s="33" t="str">
        <f aca="false">IF(OR(C897="",G897=""),"",G897*IFERROR(INDEX(Employees!$F$4:$F$43,MATCH(C897,Employees!$B$4:$B$43,0)),0))</f>
        <v/>
      </c>
      <c r="L897" s="28"/>
    </row>
    <row r="898" customFormat="false" ht="15" hidden="false" customHeight="false" outlineLevel="0" collapsed="false">
      <c r="A898" s="26"/>
      <c r="B898" s="19" t="str">
        <f aca="false">IF(A898="","",A898+7-WEEKDAY(A898,1)+1)</f>
        <v/>
      </c>
      <c r="C898" s="28"/>
      <c r="D898" s="29"/>
      <c r="E898" s="28"/>
      <c r="F898" s="28"/>
      <c r="G898" s="30"/>
      <c r="H898" s="23" t="str">
        <f aca="false">IF(E898="","",IFERROR(INDEX(Lists!$C$2:$C$86,MATCH(E898,Lists!$A$2:$A$86,0)),"?"))</f>
        <v/>
      </c>
      <c r="I898" s="24" t="str">
        <f aca="false">IF(OR(C898="",E898=""),"",IF(H898="Yes",IFERROR(INDEX(Employees!$E$4:$E$43,MATCH(C898,Employees!$B$4:$B$43,0)),0),0))</f>
        <v/>
      </c>
      <c r="J898" s="25" t="str">
        <f aca="false">IF(G898="","",IF(H898="Yes",G898*I898,0))</f>
        <v/>
      </c>
      <c r="K898" s="25" t="str">
        <f aca="false">IF(OR(C898="",G898=""),"",G898*IFERROR(INDEX(Employees!$F$4:$F$43,MATCH(C898,Employees!$B$4:$B$43,0)),0))</f>
        <v/>
      </c>
      <c r="L898" s="28"/>
    </row>
    <row r="899" customFormat="false" ht="15" hidden="false" customHeight="false" outlineLevel="0" collapsed="false">
      <c r="A899" s="26"/>
      <c r="B899" s="27" t="str">
        <f aca="false">IF(A899="","",A899+7-WEEKDAY(A899,1)+1)</f>
        <v/>
      </c>
      <c r="C899" s="28"/>
      <c r="D899" s="29"/>
      <c r="E899" s="28"/>
      <c r="F899" s="28"/>
      <c r="G899" s="30"/>
      <c r="H899" s="31" t="str">
        <f aca="false">IF(E899="","",IFERROR(INDEX(Lists!$C$2:$C$86,MATCH(E899,Lists!$A$2:$A$86,0)),"?"))</f>
        <v/>
      </c>
      <c r="I899" s="32" t="str">
        <f aca="false">IF(OR(C899="",E899=""),"",IF(H899="Yes",IFERROR(INDEX(Employees!$E$4:$E$43,MATCH(C899,Employees!$B$4:$B$43,0)),0),0))</f>
        <v/>
      </c>
      <c r="J899" s="33" t="str">
        <f aca="false">IF(G899="","",IF(H899="Yes",G899*I899,0))</f>
        <v/>
      </c>
      <c r="K899" s="33" t="str">
        <f aca="false">IF(OR(C899="",G899=""),"",G899*IFERROR(INDEX(Employees!$F$4:$F$43,MATCH(C899,Employees!$B$4:$B$43,0)),0))</f>
        <v/>
      </c>
      <c r="L899" s="28"/>
    </row>
    <row r="900" customFormat="false" ht="15" hidden="false" customHeight="false" outlineLevel="0" collapsed="false">
      <c r="A900" s="26"/>
      <c r="B900" s="19" t="str">
        <f aca="false">IF(A900="","",A900+7-WEEKDAY(A900,1)+1)</f>
        <v/>
      </c>
      <c r="C900" s="28"/>
      <c r="D900" s="29"/>
      <c r="E900" s="28"/>
      <c r="F900" s="28"/>
      <c r="G900" s="30"/>
      <c r="H900" s="23" t="str">
        <f aca="false">IF(E900="","",IFERROR(INDEX(Lists!$C$2:$C$86,MATCH(E900,Lists!$A$2:$A$86,0)),"?"))</f>
        <v/>
      </c>
      <c r="I900" s="24" t="str">
        <f aca="false">IF(OR(C900="",E900=""),"",IF(H900="Yes",IFERROR(INDEX(Employees!$E$4:$E$43,MATCH(C900,Employees!$B$4:$B$43,0)),0),0))</f>
        <v/>
      </c>
      <c r="J900" s="25" t="str">
        <f aca="false">IF(G900="","",IF(H900="Yes",G900*I900,0))</f>
        <v/>
      </c>
      <c r="K900" s="25" t="str">
        <f aca="false">IF(OR(C900="",G900=""),"",G900*IFERROR(INDEX(Employees!$F$4:$F$43,MATCH(C900,Employees!$B$4:$B$43,0)),0))</f>
        <v/>
      </c>
      <c r="L900" s="28"/>
    </row>
    <row r="901" customFormat="false" ht="15" hidden="false" customHeight="false" outlineLevel="0" collapsed="false">
      <c r="A901" s="26"/>
      <c r="B901" s="27" t="str">
        <f aca="false">IF(A901="","",A901+7-WEEKDAY(A901,1)+1)</f>
        <v/>
      </c>
      <c r="C901" s="28"/>
      <c r="D901" s="29"/>
      <c r="E901" s="28"/>
      <c r="F901" s="28"/>
      <c r="G901" s="30"/>
      <c r="H901" s="31" t="str">
        <f aca="false">IF(E901="","",IFERROR(INDEX(Lists!$C$2:$C$86,MATCH(E901,Lists!$A$2:$A$86,0)),"?"))</f>
        <v/>
      </c>
      <c r="I901" s="32" t="str">
        <f aca="false">IF(OR(C901="",E901=""),"",IF(H901="Yes",IFERROR(INDEX(Employees!$E$4:$E$43,MATCH(C901,Employees!$B$4:$B$43,0)),0),0))</f>
        <v/>
      </c>
      <c r="J901" s="33" t="str">
        <f aca="false">IF(G901="","",IF(H901="Yes",G901*I901,0))</f>
        <v/>
      </c>
      <c r="K901" s="33" t="str">
        <f aca="false">IF(OR(C901="",G901=""),"",G901*IFERROR(INDEX(Employees!$F$4:$F$43,MATCH(C901,Employees!$B$4:$B$43,0)),0))</f>
        <v/>
      </c>
      <c r="L901" s="28"/>
    </row>
    <row r="902" customFormat="false" ht="15" hidden="false" customHeight="false" outlineLevel="0" collapsed="false">
      <c r="A902" s="26"/>
      <c r="B902" s="19" t="str">
        <f aca="false">IF(A902="","",A902+7-WEEKDAY(A902,1)+1)</f>
        <v/>
      </c>
      <c r="C902" s="28"/>
      <c r="D902" s="29"/>
      <c r="E902" s="28"/>
      <c r="F902" s="28"/>
      <c r="G902" s="30"/>
      <c r="H902" s="23" t="str">
        <f aca="false">IF(E902="","",IFERROR(INDEX(Lists!$C$2:$C$86,MATCH(E902,Lists!$A$2:$A$86,0)),"?"))</f>
        <v/>
      </c>
      <c r="I902" s="24" t="str">
        <f aca="false">IF(OR(C902="",E902=""),"",IF(H902="Yes",IFERROR(INDEX(Employees!$E$4:$E$43,MATCH(C902,Employees!$B$4:$B$43,0)),0),0))</f>
        <v/>
      </c>
      <c r="J902" s="25" t="str">
        <f aca="false">IF(G902="","",IF(H902="Yes",G902*I902,0))</f>
        <v/>
      </c>
      <c r="K902" s="25" t="str">
        <f aca="false">IF(OR(C902="",G902=""),"",G902*IFERROR(INDEX(Employees!$F$4:$F$43,MATCH(C902,Employees!$B$4:$B$43,0)),0))</f>
        <v/>
      </c>
      <c r="L902" s="28"/>
    </row>
    <row r="903" customFormat="false" ht="15" hidden="false" customHeight="false" outlineLevel="0" collapsed="false">
      <c r="A903" s="26"/>
      <c r="B903" s="27" t="str">
        <f aca="false">IF(A903="","",A903+7-WEEKDAY(A903,1)+1)</f>
        <v/>
      </c>
      <c r="C903" s="28"/>
      <c r="D903" s="29"/>
      <c r="E903" s="28"/>
      <c r="F903" s="28"/>
      <c r="G903" s="30"/>
      <c r="H903" s="31" t="str">
        <f aca="false">IF(E903="","",IFERROR(INDEX(Lists!$C$2:$C$86,MATCH(E903,Lists!$A$2:$A$86,0)),"?"))</f>
        <v/>
      </c>
      <c r="I903" s="32" t="str">
        <f aca="false">IF(OR(C903="",E903=""),"",IF(H903="Yes",IFERROR(INDEX(Employees!$E$4:$E$43,MATCH(C903,Employees!$B$4:$B$43,0)),0),0))</f>
        <v/>
      </c>
      <c r="J903" s="33" t="str">
        <f aca="false">IF(G903="","",IF(H903="Yes",G903*I903,0))</f>
        <v/>
      </c>
      <c r="K903" s="33" t="str">
        <f aca="false">IF(OR(C903="",G903=""),"",G903*IFERROR(INDEX(Employees!$F$4:$F$43,MATCH(C903,Employees!$B$4:$B$43,0)),0))</f>
        <v/>
      </c>
      <c r="L903" s="28"/>
    </row>
    <row r="904" customFormat="false" ht="15" hidden="false" customHeight="false" outlineLevel="0" collapsed="false">
      <c r="A904" s="26"/>
      <c r="B904" s="19" t="str">
        <f aca="false">IF(A904="","",A904+7-WEEKDAY(A904,1)+1)</f>
        <v/>
      </c>
      <c r="C904" s="28"/>
      <c r="D904" s="29"/>
      <c r="E904" s="28"/>
      <c r="F904" s="28"/>
      <c r="G904" s="30"/>
      <c r="H904" s="23" t="str">
        <f aca="false">IF(E904="","",IFERROR(INDEX(Lists!$C$2:$C$86,MATCH(E904,Lists!$A$2:$A$86,0)),"?"))</f>
        <v/>
      </c>
      <c r="I904" s="24" t="str">
        <f aca="false">IF(OR(C904="",E904=""),"",IF(H904="Yes",IFERROR(INDEX(Employees!$E$4:$E$43,MATCH(C904,Employees!$B$4:$B$43,0)),0),0))</f>
        <v/>
      </c>
      <c r="J904" s="25" t="str">
        <f aca="false">IF(G904="","",IF(H904="Yes",G904*I904,0))</f>
        <v/>
      </c>
      <c r="K904" s="25" t="str">
        <f aca="false">IF(OR(C904="",G904=""),"",G904*IFERROR(INDEX(Employees!$F$4:$F$43,MATCH(C904,Employees!$B$4:$B$43,0)),0))</f>
        <v/>
      </c>
      <c r="L904" s="28"/>
    </row>
    <row r="905" customFormat="false" ht="15" hidden="false" customHeight="false" outlineLevel="0" collapsed="false">
      <c r="A905" s="26"/>
      <c r="B905" s="27" t="str">
        <f aca="false">IF(A905="","",A905+7-WEEKDAY(A905,1)+1)</f>
        <v/>
      </c>
      <c r="C905" s="28"/>
      <c r="D905" s="29"/>
      <c r="E905" s="28"/>
      <c r="F905" s="28"/>
      <c r="G905" s="30"/>
      <c r="H905" s="31" t="str">
        <f aca="false">IF(E905="","",IFERROR(INDEX(Lists!$C$2:$C$86,MATCH(E905,Lists!$A$2:$A$86,0)),"?"))</f>
        <v/>
      </c>
      <c r="I905" s="32" t="str">
        <f aca="false">IF(OR(C905="",E905=""),"",IF(H905="Yes",IFERROR(INDEX(Employees!$E$4:$E$43,MATCH(C905,Employees!$B$4:$B$43,0)),0),0))</f>
        <v/>
      </c>
      <c r="J905" s="33" t="str">
        <f aca="false">IF(G905="","",IF(H905="Yes",G905*I905,0))</f>
        <v/>
      </c>
      <c r="K905" s="33" t="str">
        <f aca="false">IF(OR(C905="",G905=""),"",G905*IFERROR(INDEX(Employees!$F$4:$F$43,MATCH(C905,Employees!$B$4:$B$43,0)),0))</f>
        <v/>
      </c>
      <c r="L905" s="28"/>
    </row>
    <row r="906" customFormat="false" ht="15" hidden="false" customHeight="false" outlineLevel="0" collapsed="false">
      <c r="A906" s="26"/>
      <c r="B906" s="19" t="str">
        <f aca="false">IF(A906="","",A906+7-WEEKDAY(A906,1)+1)</f>
        <v/>
      </c>
      <c r="C906" s="28"/>
      <c r="D906" s="29"/>
      <c r="E906" s="28"/>
      <c r="F906" s="28"/>
      <c r="G906" s="30"/>
      <c r="H906" s="23" t="str">
        <f aca="false">IF(E906="","",IFERROR(INDEX(Lists!$C$2:$C$86,MATCH(E906,Lists!$A$2:$A$86,0)),"?"))</f>
        <v/>
      </c>
      <c r="I906" s="24" t="str">
        <f aca="false">IF(OR(C906="",E906=""),"",IF(H906="Yes",IFERROR(INDEX(Employees!$E$4:$E$43,MATCH(C906,Employees!$B$4:$B$43,0)),0),0))</f>
        <v/>
      </c>
      <c r="J906" s="25" t="str">
        <f aca="false">IF(G906="","",IF(H906="Yes",G906*I906,0))</f>
        <v/>
      </c>
      <c r="K906" s="25" t="str">
        <f aca="false">IF(OR(C906="",G906=""),"",G906*IFERROR(INDEX(Employees!$F$4:$F$43,MATCH(C906,Employees!$B$4:$B$43,0)),0))</f>
        <v/>
      </c>
      <c r="L906" s="28"/>
    </row>
    <row r="907" customFormat="false" ht="15" hidden="false" customHeight="false" outlineLevel="0" collapsed="false">
      <c r="A907" s="26"/>
      <c r="B907" s="27" t="str">
        <f aca="false">IF(A907="","",A907+7-WEEKDAY(A907,1)+1)</f>
        <v/>
      </c>
      <c r="C907" s="28"/>
      <c r="D907" s="29"/>
      <c r="E907" s="28"/>
      <c r="F907" s="28"/>
      <c r="G907" s="30"/>
      <c r="H907" s="31" t="str">
        <f aca="false">IF(E907="","",IFERROR(INDEX(Lists!$C$2:$C$86,MATCH(E907,Lists!$A$2:$A$86,0)),"?"))</f>
        <v/>
      </c>
      <c r="I907" s="32" t="str">
        <f aca="false">IF(OR(C907="",E907=""),"",IF(H907="Yes",IFERROR(INDEX(Employees!$E$4:$E$43,MATCH(C907,Employees!$B$4:$B$43,0)),0),0))</f>
        <v/>
      </c>
      <c r="J907" s="33" t="str">
        <f aca="false">IF(G907="","",IF(H907="Yes",G907*I907,0))</f>
        <v/>
      </c>
      <c r="K907" s="33" t="str">
        <f aca="false">IF(OR(C907="",G907=""),"",G907*IFERROR(INDEX(Employees!$F$4:$F$43,MATCH(C907,Employees!$B$4:$B$43,0)),0))</f>
        <v/>
      </c>
      <c r="L907" s="28"/>
    </row>
    <row r="908" customFormat="false" ht="15" hidden="false" customHeight="false" outlineLevel="0" collapsed="false">
      <c r="A908" s="26"/>
      <c r="B908" s="19" t="str">
        <f aca="false">IF(A908="","",A908+7-WEEKDAY(A908,1)+1)</f>
        <v/>
      </c>
      <c r="C908" s="28"/>
      <c r="D908" s="29"/>
      <c r="E908" s="28"/>
      <c r="F908" s="28"/>
      <c r="G908" s="30"/>
      <c r="H908" s="23" t="str">
        <f aca="false">IF(E908="","",IFERROR(INDEX(Lists!$C$2:$C$86,MATCH(E908,Lists!$A$2:$A$86,0)),"?"))</f>
        <v/>
      </c>
      <c r="I908" s="24" t="str">
        <f aca="false">IF(OR(C908="",E908=""),"",IF(H908="Yes",IFERROR(INDEX(Employees!$E$4:$E$43,MATCH(C908,Employees!$B$4:$B$43,0)),0),0))</f>
        <v/>
      </c>
      <c r="J908" s="25" t="str">
        <f aca="false">IF(G908="","",IF(H908="Yes",G908*I908,0))</f>
        <v/>
      </c>
      <c r="K908" s="25" t="str">
        <f aca="false">IF(OR(C908="",G908=""),"",G908*IFERROR(INDEX(Employees!$F$4:$F$43,MATCH(C908,Employees!$B$4:$B$43,0)),0))</f>
        <v/>
      </c>
      <c r="L908" s="28"/>
    </row>
    <row r="909" customFormat="false" ht="15" hidden="false" customHeight="false" outlineLevel="0" collapsed="false">
      <c r="A909" s="26"/>
      <c r="B909" s="27" t="str">
        <f aca="false">IF(A909="","",A909+7-WEEKDAY(A909,1)+1)</f>
        <v/>
      </c>
      <c r="C909" s="28"/>
      <c r="D909" s="29"/>
      <c r="E909" s="28"/>
      <c r="F909" s="28"/>
      <c r="G909" s="30"/>
      <c r="H909" s="31" t="str">
        <f aca="false">IF(E909="","",IFERROR(INDEX(Lists!$C$2:$C$86,MATCH(E909,Lists!$A$2:$A$86,0)),"?"))</f>
        <v/>
      </c>
      <c r="I909" s="32" t="str">
        <f aca="false">IF(OR(C909="",E909=""),"",IF(H909="Yes",IFERROR(INDEX(Employees!$E$4:$E$43,MATCH(C909,Employees!$B$4:$B$43,0)),0),0))</f>
        <v/>
      </c>
      <c r="J909" s="33" t="str">
        <f aca="false">IF(G909="","",IF(H909="Yes",G909*I909,0))</f>
        <v/>
      </c>
      <c r="K909" s="33" t="str">
        <f aca="false">IF(OR(C909="",G909=""),"",G909*IFERROR(INDEX(Employees!$F$4:$F$43,MATCH(C909,Employees!$B$4:$B$43,0)),0))</f>
        <v/>
      </c>
      <c r="L909" s="28"/>
    </row>
    <row r="910" customFormat="false" ht="15" hidden="false" customHeight="false" outlineLevel="0" collapsed="false">
      <c r="A910" s="26"/>
      <c r="B910" s="19" t="str">
        <f aca="false">IF(A910="","",A910+7-WEEKDAY(A910,1)+1)</f>
        <v/>
      </c>
      <c r="C910" s="28"/>
      <c r="D910" s="29"/>
      <c r="E910" s="28"/>
      <c r="F910" s="28"/>
      <c r="G910" s="30"/>
      <c r="H910" s="23" t="str">
        <f aca="false">IF(E910="","",IFERROR(INDEX(Lists!$C$2:$C$86,MATCH(E910,Lists!$A$2:$A$86,0)),"?"))</f>
        <v/>
      </c>
      <c r="I910" s="24" t="str">
        <f aca="false">IF(OR(C910="",E910=""),"",IF(H910="Yes",IFERROR(INDEX(Employees!$E$4:$E$43,MATCH(C910,Employees!$B$4:$B$43,0)),0),0))</f>
        <v/>
      </c>
      <c r="J910" s="25" t="str">
        <f aca="false">IF(G910="","",IF(H910="Yes",G910*I910,0))</f>
        <v/>
      </c>
      <c r="K910" s="25" t="str">
        <f aca="false">IF(OR(C910="",G910=""),"",G910*IFERROR(INDEX(Employees!$F$4:$F$43,MATCH(C910,Employees!$B$4:$B$43,0)),0))</f>
        <v/>
      </c>
      <c r="L910" s="28"/>
    </row>
    <row r="911" customFormat="false" ht="15" hidden="false" customHeight="false" outlineLevel="0" collapsed="false">
      <c r="A911" s="26"/>
      <c r="B911" s="27" t="str">
        <f aca="false">IF(A911="","",A911+7-WEEKDAY(A911,1)+1)</f>
        <v/>
      </c>
      <c r="C911" s="28"/>
      <c r="D911" s="29"/>
      <c r="E911" s="28"/>
      <c r="F911" s="28"/>
      <c r="G911" s="30"/>
      <c r="H911" s="31" t="str">
        <f aca="false">IF(E911="","",IFERROR(INDEX(Lists!$C$2:$C$86,MATCH(E911,Lists!$A$2:$A$86,0)),"?"))</f>
        <v/>
      </c>
      <c r="I911" s="32" t="str">
        <f aca="false">IF(OR(C911="",E911=""),"",IF(H911="Yes",IFERROR(INDEX(Employees!$E$4:$E$43,MATCH(C911,Employees!$B$4:$B$43,0)),0),0))</f>
        <v/>
      </c>
      <c r="J911" s="33" t="str">
        <f aca="false">IF(G911="","",IF(H911="Yes",G911*I911,0))</f>
        <v/>
      </c>
      <c r="K911" s="33" t="str">
        <f aca="false">IF(OR(C911="",G911=""),"",G911*IFERROR(INDEX(Employees!$F$4:$F$43,MATCH(C911,Employees!$B$4:$B$43,0)),0))</f>
        <v/>
      </c>
      <c r="L911" s="28"/>
    </row>
    <row r="912" customFormat="false" ht="15" hidden="false" customHeight="false" outlineLevel="0" collapsed="false">
      <c r="A912" s="26"/>
      <c r="B912" s="19" t="str">
        <f aca="false">IF(A912="","",A912+7-WEEKDAY(A912,1)+1)</f>
        <v/>
      </c>
      <c r="C912" s="28"/>
      <c r="D912" s="29"/>
      <c r="E912" s="28"/>
      <c r="F912" s="28"/>
      <c r="G912" s="30"/>
      <c r="H912" s="23" t="str">
        <f aca="false">IF(E912="","",IFERROR(INDEX(Lists!$C$2:$C$86,MATCH(E912,Lists!$A$2:$A$86,0)),"?"))</f>
        <v/>
      </c>
      <c r="I912" s="24" t="str">
        <f aca="false">IF(OR(C912="",E912=""),"",IF(H912="Yes",IFERROR(INDEX(Employees!$E$4:$E$43,MATCH(C912,Employees!$B$4:$B$43,0)),0),0))</f>
        <v/>
      </c>
      <c r="J912" s="25" t="str">
        <f aca="false">IF(G912="","",IF(H912="Yes",G912*I912,0))</f>
        <v/>
      </c>
      <c r="K912" s="25" t="str">
        <f aca="false">IF(OR(C912="",G912=""),"",G912*IFERROR(INDEX(Employees!$F$4:$F$43,MATCH(C912,Employees!$B$4:$B$43,0)),0))</f>
        <v/>
      </c>
      <c r="L912" s="28"/>
    </row>
    <row r="913" customFormat="false" ht="15" hidden="false" customHeight="false" outlineLevel="0" collapsed="false">
      <c r="A913" s="26"/>
      <c r="B913" s="27" t="str">
        <f aca="false">IF(A913="","",A913+7-WEEKDAY(A913,1)+1)</f>
        <v/>
      </c>
      <c r="C913" s="28"/>
      <c r="D913" s="29"/>
      <c r="E913" s="28"/>
      <c r="F913" s="28"/>
      <c r="G913" s="30"/>
      <c r="H913" s="31" t="str">
        <f aca="false">IF(E913="","",IFERROR(INDEX(Lists!$C$2:$C$86,MATCH(E913,Lists!$A$2:$A$86,0)),"?"))</f>
        <v/>
      </c>
      <c r="I913" s="32" t="str">
        <f aca="false">IF(OR(C913="",E913=""),"",IF(H913="Yes",IFERROR(INDEX(Employees!$E$4:$E$43,MATCH(C913,Employees!$B$4:$B$43,0)),0),0))</f>
        <v/>
      </c>
      <c r="J913" s="33" t="str">
        <f aca="false">IF(G913="","",IF(H913="Yes",G913*I913,0))</f>
        <v/>
      </c>
      <c r="K913" s="33" t="str">
        <f aca="false">IF(OR(C913="",G913=""),"",G913*IFERROR(INDEX(Employees!$F$4:$F$43,MATCH(C913,Employees!$B$4:$B$43,0)),0))</f>
        <v/>
      </c>
      <c r="L913" s="28"/>
    </row>
    <row r="914" customFormat="false" ht="15" hidden="false" customHeight="false" outlineLevel="0" collapsed="false">
      <c r="A914" s="26"/>
      <c r="B914" s="19" t="str">
        <f aca="false">IF(A914="","",A914+7-WEEKDAY(A914,1)+1)</f>
        <v/>
      </c>
      <c r="C914" s="28"/>
      <c r="D914" s="29"/>
      <c r="E914" s="28"/>
      <c r="F914" s="28"/>
      <c r="G914" s="30"/>
      <c r="H914" s="23" t="str">
        <f aca="false">IF(E914="","",IFERROR(INDEX(Lists!$C$2:$C$86,MATCH(E914,Lists!$A$2:$A$86,0)),"?"))</f>
        <v/>
      </c>
      <c r="I914" s="24" t="str">
        <f aca="false">IF(OR(C914="",E914=""),"",IF(H914="Yes",IFERROR(INDEX(Employees!$E$4:$E$43,MATCH(C914,Employees!$B$4:$B$43,0)),0),0))</f>
        <v/>
      </c>
      <c r="J914" s="25" t="str">
        <f aca="false">IF(G914="","",IF(H914="Yes",G914*I914,0))</f>
        <v/>
      </c>
      <c r="K914" s="25" t="str">
        <f aca="false">IF(OR(C914="",G914=""),"",G914*IFERROR(INDEX(Employees!$F$4:$F$43,MATCH(C914,Employees!$B$4:$B$43,0)),0))</f>
        <v/>
      </c>
      <c r="L914" s="28"/>
    </row>
    <row r="915" customFormat="false" ht="15" hidden="false" customHeight="false" outlineLevel="0" collapsed="false">
      <c r="A915" s="26"/>
      <c r="B915" s="27" t="str">
        <f aca="false">IF(A915="","",A915+7-WEEKDAY(A915,1)+1)</f>
        <v/>
      </c>
      <c r="C915" s="28"/>
      <c r="D915" s="29"/>
      <c r="E915" s="28"/>
      <c r="F915" s="28"/>
      <c r="G915" s="30"/>
      <c r="H915" s="31" t="str">
        <f aca="false">IF(E915="","",IFERROR(INDEX(Lists!$C$2:$C$86,MATCH(E915,Lists!$A$2:$A$86,0)),"?"))</f>
        <v/>
      </c>
      <c r="I915" s="32" t="str">
        <f aca="false">IF(OR(C915="",E915=""),"",IF(H915="Yes",IFERROR(INDEX(Employees!$E$4:$E$43,MATCH(C915,Employees!$B$4:$B$43,0)),0),0))</f>
        <v/>
      </c>
      <c r="J915" s="33" t="str">
        <f aca="false">IF(G915="","",IF(H915="Yes",G915*I915,0))</f>
        <v/>
      </c>
      <c r="K915" s="33" t="str">
        <f aca="false">IF(OR(C915="",G915=""),"",G915*IFERROR(INDEX(Employees!$F$4:$F$43,MATCH(C915,Employees!$B$4:$B$43,0)),0))</f>
        <v/>
      </c>
      <c r="L915" s="28"/>
    </row>
    <row r="916" customFormat="false" ht="15" hidden="false" customHeight="false" outlineLevel="0" collapsed="false">
      <c r="A916" s="26"/>
      <c r="B916" s="19" t="str">
        <f aca="false">IF(A916="","",A916+7-WEEKDAY(A916,1)+1)</f>
        <v/>
      </c>
      <c r="C916" s="28"/>
      <c r="D916" s="29"/>
      <c r="E916" s="28"/>
      <c r="F916" s="28"/>
      <c r="G916" s="30"/>
      <c r="H916" s="23" t="str">
        <f aca="false">IF(E916="","",IFERROR(INDEX(Lists!$C$2:$C$86,MATCH(E916,Lists!$A$2:$A$86,0)),"?"))</f>
        <v/>
      </c>
      <c r="I916" s="24" t="str">
        <f aca="false">IF(OR(C916="",E916=""),"",IF(H916="Yes",IFERROR(INDEX(Employees!$E$4:$E$43,MATCH(C916,Employees!$B$4:$B$43,0)),0),0))</f>
        <v/>
      </c>
      <c r="J916" s="25" t="str">
        <f aca="false">IF(G916="","",IF(H916="Yes",G916*I916,0))</f>
        <v/>
      </c>
      <c r="K916" s="25" t="str">
        <f aca="false">IF(OR(C916="",G916=""),"",G916*IFERROR(INDEX(Employees!$F$4:$F$43,MATCH(C916,Employees!$B$4:$B$43,0)),0))</f>
        <v/>
      </c>
      <c r="L916" s="28"/>
    </row>
    <row r="917" customFormat="false" ht="15" hidden="false" customHeight="false" outlineLevel="0" collapsed="false">
      <c r="A917" s="26"/>
      <c r="B917" s="27" t="str">
        <f aca="false">IF(A917="","",A917+7-WEEKDAY(A917,1)+1)</f>
        <v/>
      </c>
      <c r="C917" s="28"/>
      <c r="D917" s="29"/>
      <c r="E917" s="28"/>
      <c r="F917" s="28"/>
      <c r="G917" s="30"/>
      <c r="H917" s="31" t="str">
        <f aca="false">IF(E917="","",IFERROR(INDEX(Lists!$C$2:$C$86,MATCH(E917,Lists!$A$2:$A$86,0)),"?"))</f>
        <v/>
      </c>
      <c r="I917" s="32" t="str">
        <f aca="false">IF(OR(C917="",E917=""),"",IF(H917="Yes",IFERROR(INDEX(Employees!$E$4:$E$43,MATCH(C917,Employees!$B$4:$B$43,0)),0),0))</f>
        <v/>
      </c>
      <c r="J917" s="33" t="str">
        <f aca="false">IF(G917="","",IF(H917="Yes",G917*I917,0))</f>
        <v/>
      </c>
      <c r="K917" s="33" t="str">
        <f aca="false">IF(OR(C917="",G917=""),"",G917*IFERROR(INDEX(Employees!$F$4:$F$43,MATCH(C917,Employees!$B$4:$B$43,0)),0))</f>
        <v/>
      </c>
      <c r="L917" s="28"/>
    </row>
    <row r="918" customFormat="false" ht="15" hidden="false" customHeight="false" outlineLevel="0" collapsed="false">
      <c r="A918" s="26"/>
      <c r="B918" s="19" t="str">
        <f aca="false">IF(A918="","",A918+7-WEEKDAY(A918,1)+1)</f>
        <v/>
      </c>
      <c r="C918" s="28"/>
      <c r="D918" s="29"/>
      <c r="E918" s="28"/>
      <c r="F918" s="28"/>
      <c r="G918" s="30"/>
      <c r="H918" s="23" t="str">
        <f aca="false">IF(E918="","",IFERROR(INDEX(Lists!$C$2:$C$86,MATCH(E918,Lists!$A$2:$A$86,0)),"?"))</f>
        <v/>
      </c>
      <c r="I918" s="24" t="str">
        <f aca="false">IF(OR(C918="",E918=""),"",IF(H918="Yes",IFERROR(INDEX(Employees!$E$4:$E$43,MATCH(C918,Employees!$B$4:$B$43,0)),0),0))</f>
        <v/>
      </c>
      <c r="J918" s="25" t="str">
        <f aca="false">IF(G918="","",IF(H918="Yes",G918*I918,0))</f>
        <v/>
      </c>
      <c r="K918" s="25" t="str">
        <f aca="false">IF(OR(C918="",G918=""),"",G918*IFERROR(INDEX(Employees!$F$4:$F$43,MATCH(C918,Employees!$B$4:$B$43,0)),0))</f>
        <v/>
      </c>
      <c r="L918" s="28"/>
    </row>
    <row r="919" customFormat="false" ht="15" hidden="false" customHeight="false" outlineLevel="0" collapsed="false">
      <c r="A919" s="26"/>
      <c r="B919" s="27" t="str">
        <f aca="false">IF(A919="","",A919+7-WEEKDAY(A919,1)+1)</f>
        <v/>
      </c>
      <c r="C919" s="28"/>
      <c r="D919" s="29"/>
      <c r="E919" s="28"/>
      <c r="F919" s="28"/>
      <c r="G919" s="30"/>
      <c r="H919" s="31" t="str">
        <f aca="false">IF(E919="","",IFERROR(INDEX(Lists!$C$2:$C$86,MATCH(E919,Lists!$A$2:$A$86,0)),"?"))</f>
        <v/>
      </c>
      <c r="I919" s="32" t="str">
        <f aca="false">IF(OR(C919="",E919=""),"",IF(H919="Yes",IFERROR(INDEX(Employees!$E$4:$E$43,MATCH(C919,Employees!$B$4:$B$43,0)),0),0))</f>
        <v/>
      </c>
      <c r="J919" s="33" t="str">
        <f aca="false">IF(G919="","",IF(H919="Yes",G919*I919,0))</f>
        <v/>
      </c>
      <c r="K919" s="33" t="str">
        <f aca="false">IF(OR(C919="",G919=""),"",G919*IFERROR(INDEX(Employees!$F$4:$F$43,MATCH(C919,Employees!$B$4:$B$43,0)),0))</f>
        <v/>
      </c>
      <c r="L919" s="28"/>
    </row>
    <row r="920" customFormat="false" ht="15" hidden="false" customHeight="false" outlineLevel="0" collapsed="false">
      <c r="A920" s="26"/>
      <c r="B920" s="19" t="str">
        <f aca="false">IF(A920="","",A920+7-WEEKDAY(A920,1)+1)</f>
        <v/>
      </c>
      <c r="C920" s="28"/>
      <c r="D920" s="29"/>
      <c r="E920" s="28"/>
      <c r="F920" s="28"/>
      <c r="G920" s="30"/>
      <c r="H920" s="23" t="str">
        <f aca="false">IF(E920="","",IFERROR(INDEX(Lists!$C$2:$C$86,MATCH(E920,Lists!$A$2:$A$86,0)),"?"))</f>
        <v/>
      </c>
      <c r="I920" s="24" t="str">
        <f aca="false">IF(OR(C920="",E920=""),"",IF(H920="Yes",IFERROR(INDEX(Employees!$E$4:$E$43,MATCH(C920,Employees!$B$4:$B$43,0)),0),0))</f>
        <v/>
      </c>
      <c r="J920" s="25" t="str">
        <f aca="false">IF(G920="","",IF(H920="Yes",G920*I920,0))</f>
        <v/>
      </c>
      <c r="K920" s="25" t="str">
        <f aca="false">IF(OR(C920="",G920=""),"",G920*IFERROR(INDEX(Employees!$F$4:$F$43,MATCH(C920,Employees!$B$4:$B$43,0)),0))</f>
        <v/>
      </c>
      <c r="L920" s="28"/>
    </row>
    <row r="921" customFormat="false" ht="15" hidden="false" customHeight="false" outlineLevel="0" collapsed="false">
      <c r="A921" s="26"/>
      <c r="B921" s="27" t="str">
        <f aca="false">IF(A921="","",A921+7-WEEKDAY(A921,1)+1)</f>
        <v/>
      </c>
      <c r="C921" s="28"/>
      <c r="D921" s="29"/>
      <c r="E921" s="28"/>
      <c r="F921" s="28"/>
      <c r="G921" s="30"/>
      <c r="H921" s="31" t="str">
        <f aca="false">IF(E921="","",IFERROR(INDEX(Lists!$C$2:$C$86,MATCH(E921,Lists!$A$2:$A$86,0)),"?"))</f>
        <v/>
      </c>
      <c r="I921" s="32" t="str">
        <f aca="false">IF(OR(C921="",E921=""),"",IF(H921="Yes",IFERROR(INDEX(Employees!$E$4:$E$43,MATCH(C921,Employees!$B$4:$B$43,0)),0),0))</f>
        <v/>
      </c>
      <c r="J921" s="33" t="str">
        <f aca="false">IF(G921="","",IF(H921="Yes",G921*I921,0))</f>
        <v/>
      </c>
      <c r="K921" s="33" t="str">
        <f aca="false">IF(OR(C921="",G921=""),"",G921*IFERROR(INDEX(Employees!$F$4:$F$43,MATCH(C921,Employees!$B$4:$B$43,0)),0))</f>
        <v/>
      </c>
      <c r="L921" s="28"/>
    </row>
    <row r="922" customFormat="false" ht="15" hidden="false" customHeight="false" outlineLevel="0" collapsed="false">
      <c r="A922" s="26"/>
      <c r="B922" s="19" t="str">
        <f aca="false">IF(A922="","",A922+7-WEEKDAY(A922,1)+1)</f>
        <v/>
      </c>
      <c r="C922" s="28"/>
      <c r="D922" s="29"/>
      <c r="E922" s="28"/>
      <c r="F922" s="28"/>
      <c r="G922" s="30"/>
      <c r="H922" s="23" t="str">
        <f aca="false">IF(E922="","",IFERROR(INDEX(Lists!$C$2:$C$86,MATCH(E922,Lists!$A$2:$A$86,0)),"?"))</f>
        <v/>
      </c>
      <c r="I922" s="24" t="str">
        <f aca="false">IF(OR(C922="",E922=""),"",IF(H922="Yes",IFERROR(INDEX(Employees!$E$4:$E$43,MATCH(C922,Employees!$B$4:$B$43,0)),0),0))</f>
        <v/>
      </c>
      <c r="J922" s="25" t="str">
        <f aca="false">IF(G922="","",IF(H922="Yes",G922*I922,0))</f>
        <v/>
      </c>
      <c r="K922" s="25" t="str">
        <f aca="false">IF(OR(C922="",G922=""),"",G922*IFERROR(INDEX(Employees!$F$4:$F$43,MATCH(C922,Employees!$B$4:$B$43,0)),0))</f>
        <v/>
      </c>
      <c r="L922" s="28"/>
    </row>
    <row r="923" customFormat="false" ht="15" hidden="false" customHeight="false" outlineLevel="0" collapsed="false">
      <c r="A923" s="26"/>
      <c r="B923" s="27" t="str">
        <f aca="false">IF(A923="","",A923+7-WEEKDAY(A923,1)+1)</f>
        <v/>
      </c>
      <c r="C923" s="28"/>
      <c r="D923" s="29"/>
      <c r="E923" s="28"/>
      <c r="F923" s="28"/>
      <c r="G923" s="30"/>
      <c r="H923" s="31" t="str">
        <f aca="false">IF(E923="","",IFERROR(INDEX(Lists!$C$2:$C$86,MATCH(E923,Lists!$A$2:$A$86,0)),"?"))</f>
        <v/>
      </c>
      <c r="I923" s="32" t="str">
        <f aca="false">IF(OR(C923="",E923=""),"",IF(H923="Yes",IFERROR(INDEX(Employees!$E$4:$E$43,MATCH(C923,Employees!$B$4:$B$43,0)),0),0))</f>
        <v/>
      </c>
      <c r="J923" s="33" t="str">
        <f aca="false">IF(G923="","",IF(H923="Yes",G923*I923,0))</f>
        <v/>
      </c>
      <c r="K923" s="33" t="str">
        <f aca="false">IF(OR(C923="",G923=""),"",G923*IFERROR(INDEX(Employees!$F$4:$F$43,MATCH(C923,Employees!$B$4:$B$43,0)),0))</f>
        <v/>
      </c>
      <c r="L923" s="28"/>
    </row>
    <row r="924" customFormat="false" ht="15" hidden="false" customHeight="false" outlineLevel="0" collapsed="false">
      <c r="A924" s="26"/>
      <c r="B924" s="19" t="str">
        <f aca="false">IF(A924="","",A924+7-WEEKDAY(A924,1)+1)</f>
        <v/>
      </c>
      <c r="C924" s="28"/>
      <c r="D924" s="29"/>
      <c r="E924" s="28"/>
      <c r="F924" s="28"/>
      <c r="G924" s="30"/>
      <c r="H924" s="23" t="str">
        <f aca="false">IF(E924="","",IFERROR(INDEX(Lists!$C$2:$C$86,MATCH(E924,Lists!$A$2:$A$86,0)),"?"))</f>
        <v/>
      </c>
      <c r="I924" s="24" t="str">
        <f aca="false">IF(OR(C924="",E924=""),"",IF(H924="Yes",IFERROR(INDEX(Employees!$E$4:$E$43,MATCH(C924,Employees!$B$4:$B$43,0)),0),0))</f>
        <v/>
      </c>
      <c r="J924" s="25" t="str">
        <f aca="false">IF(G924="","",IF(H924="Yes",G924*I924,0))</f>
        <v/>
      </c>
      <c r="K924" s="25" t="str">
        <f aca="false">IF(OR(C924="",G924=""),"",G924*IFERROR(INDEX(Employees!$F$4:$F$43,MATCH(C924,Employees!$B$4:$B$43,0)),0))</f>
        <v/>
      </c>
      <c r="L924" s="28"/>
    </row>
    <row r="925" customFormat="false" ht="15" hidden="false" customHeight="false" outlineLevel="0" collapsed="false">
      <c r="A925" s="26"/>
      <c r="B925" s="27" t="str">
        <f aca="false">IF(A925="","",A925+7-WEEKDAY(A925,1)+1)</f>
        <v/>
      </c>
      <c r="C925" s="28"/>
      <c r="D925" s="29"/>
      <c r="E925" s="28"/>
      <c r="F925" s="28"/>
      <c r="G925" s="30"/>
      <c r="H925" s="31" t="str">
        <f aca="false">IF(E925="","",IFERROR(INDEX(Lists!$C$2:$C$86,MATCH(E925,Lists!$A$2:$A$86,0)),"?"))</f>
        <v/>
      </c>
      <c r="I925" s="32" t="str">
        <f aca="false">IF(OR(C925="",E925=""),"",IF(H925="Yes",IFERROR(INDEX(Employees!$E$4:$E$43,MATCH(C925,Employees!$B$4:$B$43,0)),0),0))</f>
        <v/>
      </c>
      <c r="J925" s="33" t="str">
        <f aca="false">IF(G925="","",IF(H925="Yes",G925*I925,0))</f>
        <v/>
      </c>
      <c r="K925" s="33" t="str">
        <f aca="false">IF(OR(C925="",G925=""),"",G925*IFERROR(INDEX(Employees!$F$4:$F$43,MATCH(C925,Employees!$B$4:$B$43,0)),0))</f>
        <v/>
      </c>
      <c r="L925" s="28"/>
    </row>
    <row r="926" customFormat="false" ht="15" hidden="false" customHeight="false" outlineLevel="0" collapsed="false">
      <c r="A926" s="26"/>
      <c r="B926" s="19" t="str">
        <f aca="false">IF(A926="","",A926+7-WEEKDAY(A926,1)+1)</f>
        <v/>
      </c>
      <c r="C926" s="28"/>
      <c r="D926" s="29"/>
      <c r="E926" s="28"/>
      <c r="F926" s="28"/>
      <c r="G926" s="30"/>
      <c r="H926" s="23" t="str">
        <f aca="false">IF(E926="","",IFERROR(INDEX(Lists!$C$2:$C$86,MATCH(E926,Lists!$A$2:$A$86,0)),"?"))</f>
        <v/>
      </c>
      <c r="I926" s="24" t="str">
        <f aca="false">IF(OR(C926="",E926=""),"",IF(H926="Yes",IFERROR(INDEX(Employees!$E$4:$E$43,MATCH(C926,Employees!$B$4:$B$43,0)),0),0))</f>
        <v/>
      </c>
      <c r="J926" s="25" t="str">
        <f aca="false">IF(G926="","",IF(H926="Yes",G926*I926,0))</f>
        <v/>
      </c>
      <c r="K926" s="25" t="str">
        <f aca="false">IF(OR(C926="",G926=""),"",G926*IFERROR(INDEX(Employees!$F$4:$F$43,MATCH(C926,Employees!$B$4:$B$43,0)),0))</f>
        <v/>
      </c>
      <c r="L926" s="28"/>
    </row>
    <row r="927" customFormat="false" ht="15" hidden="false" customHeight="false" outlineLevel="0" collapsed="false">
      <c r="A927" s="26"/>
      <c r="B927" s="27" t="str">
        <f aca="false">IF(A927="","",A927+7-WEEKDAY(A927,1)+1)</f>
        <v/>
      </c>
      <c r="C927" s="28"/>
      <c r="D927" s="29"/>
      <c r="E927" s="28"/>
      <c r="F927" s="28"/>
      <c r="G927" s="30"/>
      <c r="H927" s="31" t="str">
        <f aca="false">IF(E927="","",IFERROR(INDEX(Lists!$C$2:$C$86,MATCH(E927,Lists!$A$2:$A$86,0)),"?"))</f>
        <v/>
      </c>
      <c r="I927" s="32" t="str">
        <f aca="false">IF(OR(C927="",E927=""),"",IF(H927="Yes",IFERROR(INDEX(Employees!$E$4:$E$43,MATCH(C927,Employees!$B$4:$B$43,0)),0),0))</f>
        <v/>
      </c>
      <c r="J927" s="33" t="str">
        <f aca="false">IF(G927="","",IF(H927="Yes",G927*I927,0))</f>
        <v/>
      </c>
      <c r="K927" s="33" t="str">
        <f aca="false">IF(OR(C927="",G927=""),"",G927*IFERROR(INDEX(Employees!$F$4:$F$43,MATCH(C927,Employees!$B$4:$B$43,0)),0))</f>
        <v/>
      </c>
      <c r="L927" s="28"/>
    </row>
    <row r="928" customFormat="false" ht="15" hidden="false" customHeight="false" outlineLevel="0" collapsed="false">
      <c r="A928" s="26"/>
      <c r="B928" s="19" t="str">
        <f aca="false">IF(A928="","",A928+7-WEEKDAY(A928,1)+1)</f>
        <v/>
      </c>
      <c r="C928" s="28"/>
      <c r="D928" s="29"/>
      <c r="E928" s="28"/>
      <c r="F928" s="28"/>
      <c r="G928" s="30"/>
      <c r="H928" s="23" t="str">
        <f aca="false">IF(E928="","",IFERROR(INDEX(Lists!$C$2:$C$86,MATCH(E928,Lists!$A$2:$A$86,0)),"?"))</f>
        <v/>
      </c>
      <c r="I928" s="24" t="str">
        <f aca="false">IF(OR(C928="",E928=""),"",IF(H928="Yes",IFERROR(INDEX(Employees!$E$4:$E$43,MATCH(C928,Employees!$B$4:$B$43,0)),0),0))</f>
        <v/>
      </c>
      <c r="J928" s="25" t="str">
        <f aca="false">IF(G928="","",IF(H928="Yes",G928*I928,0))</f>
        <v/>
      </c>
      <c r="K928" s="25" t="str">
        <f aca="false">IF(OR(C928="",G928=""),"",G928*IFERROR(INDEX(Employees!$F$4:$F$43,MATCH(C928,Employees!$B$4:$B$43,0)),0))</f>
        <v/>
      </c>
      <c r="L928" s="28"/>
    </row>
    <row r="929" customFormat="false" ht="15" hidden="false" customHeight="false" outlineLevel="0" collapsed="false">
      <c r="A929" s="26"/>
      <c r="B929" s="27" t="str">
        <f aca="false">IF(A929="","",A929+7-WEEKDAY(A929,1)+1)</f>
        <v/>
      </c>
      <c r="C929" s="28"/>
      <c r="D929" s="29"/>
      <c r="E929" s="28"/>
      <c r="F929" s="28"/>
      <c r="G929" s="30"/>
      <c r="H929" s="31" t="str">
        <f aca="false">IF(E929="","",IFERROR(INDEX(Lists!$C$2:$C$86,MATCH(E929,Lists!$A$2:$A$86,0)),"?"))</f>
        <v/>
      </c>
      <c r="I929" s="32" t="str">
        <f aca="false">IF(OR(C929="",E929=""),"",IF(H929="Yes",IFERROR(INDEX(Employees!$E$4:$E$43,MATCH(C929,Employees!$B$4:$B$43,0)),0),0))</f>
        <v/>
      </c>
      <c r="J929" s="33" t="str">
        <f aca="false">IF(G929="","",IF(H929="Yes",G929*I929,0))</f>
        <v/>
      </c>
      <c r="K929" s="33" t="str">
        <f aca="false">IF(OR(C929="",G929=""),"",G929*IFERROR(INDEX(Employees!$F$4:$F$43,MATCH(C929,Employees!$B$4:$B$43,0)),0))</f>
        <v/>
      </c>
      <c r="L929" s="28"/>
    </row>
    <row r="930" customFormat="false" ht="15" hidden="false" customHeight="false" outlineLevel="0" collapsed="false">
      <c r="A930" s="26"/>
      <c r="B930" s="19" t="str">
        <f aca="false">IF(A930="","",A930+7-WEEKDAY(A930,1)+1)</f>
        <v/>
      </c>
      <c r="C930" s="28"/>
      <c r="D930" s="29"/>
      <c r="E930" s="28"/>
      <c r="F930" s="28"/>
      <c r="G930" s="30"/>
      <c r="H930" s="23" t="str">
        <f aca="false">IF(E930="","",IFERROR(INDEX(Lists!$C$2:$C$86,MATCH(E930,Lists!$A$2:$A$86,0)),"?"))</f>
        <v/>
      </c>
      <c r="I930" s="24" t="str">
        <f aca="false">IF(OR(C930="",E930=""),"",IF(H930="Yes",IFERROR(INDEX(Employees!$E$4:$E$43,MATCH(C930,Employees!$B$4:$B$43,0)),0),0))</f>
        <v/>
      </c>
      <c r="J930" s="25" t="str">
        <f aca="false">IF(G930="","",IF(H930="Yes",G930*I930,0))</f>
        <v/>
      </c>
      <c r="K930" s="25" t="str">
        <f aca="false">IF(OR(C930="",G930=""),"",G930*IFERROR(INDEX(Employees!$F$4:$F$43,MATCH(C930,Employees!$B$4:$B$43,0)),0))</f>
        <v/>
      </c>
      <c r="L930" s="28"/>
    </row>
    <row r="931" customFormat="false" ht="15" hidden="false" customHeight="false" outlineLevel="0" collapsed="false">
      <c r="A931" s="26"/>
      <c r="B931" s="27" t="str">
        <f aca="false">IF(A931="","",A931+7-WEEKDAY(A931,1)+1)</f>
        <v/>
      </c>
      <c r="C931" s="28"/>
      <c r="D931" s="29"/>
      <c r="E931" s="28"/>
      <c r="F931" s="28"/>
      <c r="G931" s="30"/>
      <c r="H931" s="31" t="str">
        <f aca="false">IF(E931="","",IFERROR(INDEX(Lists!$C$2:$C$86,MATCH(E931,Lists!$A$2:$A$86,0)),"?"))</f>
        <v/>
      </c>
      <c r="I931" s="32" t="str">
        <f aca="false">IF(OR(C931="",E931=""),"",IF(H931="Yes",IFERROR(INDEX(Employees!$E$4:$E$43,MATCH(C931,Employees!$B$4:$B$43,0)),0),0))</f>
        <v/>
      </c>
      <c r="J931" s="33" t="str">
        <f aca="false">IF(G931="","",IF(H931="Yes",G931*I931,0))</f>
        <v/>
      </c>
      <c r="K931" s="33" t="str">
        <f aca="false">IF(OR(C931="",G931=""),"",G931*IFERROR(INDEX(Employees!$F$4:$F$43,MATCH(C931,Employees!$B$4:$B$43,0)),0))</f>
        <v/>
      </c>
      <c r="L931" s="28"/>
    </row>
    <row r="932" customFormat="false" ht="15" hidden="false" customHeight="false" outlineLevel="0" collapsed="false">
      <c r="A932" s="26"/>
      <c r="B932" s="19" t="str">
        <f aca="false">IF(A932="","",A932+7-WEEKDAY(A932,1)+1)</f>
        <v/>
      </c>
      <c r="C932" s="28"/>
      <c r="D932" s="29"/>
      <c r="E932" s="28"/>
      <c r="F932" s="28"/>
      <c r="G932" s="30"/>
      <c r="H932" s="23" t="str">
        <f aca="false">IF(E932="","",IFERROR(INDEX(Lists!$C$2:$C$86,MATCH(E932,Lists!$A$2:$A$86,0)),"?"))</f>
        <v/>
      </c>
      <c r="I932" s="24" t="str">
        <f aca="false">IF(OR(C932="",E932=""),"",IF(H932="Yes",IFERROR(INDEX(Employees!$E$4:$E$43,MATCH(C932,Employees!$B$4:$B$43,0)),0),0))</f>
        <v/>
      </c>
      <c r="J932" s="25" t="str">
        <f aca="false">IF(G932="","",IF(H932="Yes",G932*I932,0))</f>
        <v/>
      </c>
      <c r="K932" s="25" t="str">
        <f aca="false">IF(OR(C932="",G932=""),"",G932*IFERROR(INDEX(Employees!$F$4:$F$43,MATCH(C932,Employees!$B$4:$B$43,0)),0))</f>
        <v/>
      </c>
      <c r="L932" s="28"/>
    </row>
    <row r="933" customFormat="false" ht="15" hidden="false" customHeight="false" outlineLevel="0" collapsed="false">
      <c r="A933" s="26"/>
      <c r="B933" s="27" t="str">
        <f aca="false">IF(A933="","",A933+7-WEEKDAY(A933,1)+1)</f>
        <v/>
      </c>
      <c r="C933" s="28"/>
      <c r="D933" s="29"/>
      <c r="E933" s="28"/>
      <c r="F933" s="28"/>
      <c r="G933" s="30"/>
      <c r="H933" s="31" t="str">
        <f aca="false">IF(E933="","",IFERROR(INDEX(Lists!$C$2:$C$86,MATCH(E933,Lists!$A$2:$A$86,0)),"?"))</f>
        <v/>
      </c>
      <c r="I933" s="32" t="str">
        <f aca="false">IF(OR(C933="",E933=""),"",IF(H933="Yes",IFERROR(INDEX(Employees!$E$4:$E$43,MATCH(C933,Employees!$B$4:$B$43,0)),0),0))</f>
        <v/>
      </c>
      <c r="J933" s="33" t="str">
        <f aca="false">IF(G933="","",IF(H933="Yes",G933*I933,0))</f>
        <v/>
      </c>
      <c r="K933" s="33" t="str">
        <f aca="false">IF(OR(C933="",G933=""),"",G933*IFERROR(INDEX(Employees!$F$4:$F$43,MATCH(C933,Employees!$B$4:$B$43,0)),0))</f>
        <v/>
      </c>
      <c r="L933" s="28"/>
    </row>
    <row r="934" customFormat="false" ht="15" hidden="false" customHeight="false" outlineLevel="0" collapsed="false">
      <c r="A934" s="26"/>
      <c r="B934" s="19" t="str">
        <f aca="false">IF(A934="","",A934+7-WEEKDAY(A934,1)+1)</f>
        <v/>
      </c>
      <c r="C934" s="28"/>
      <c r="D934" s="29"/>
      <c r="E934" s="28"/>
      <c r="F934" s="28"/>
      <c r="G934" s="30"/>
      <c r="H934" s="23" t="str">
        <f aca="false">IF(E934="","",IFERROR(INDEX(Lists!$C$2:$C$86,MATCH(E934,Lists!$A$2:$A$86,0)),"?"))</f>
        <v/>
      </c>
      <c r="I934" s="24" t="str">
        <f aca="false">IF(OR(C934="",E934=""),"",IF(H934="Yes",IFERROR(INDEX(Employees!$E$4:$E$43,MATCH(C934,Employees!$B$4:$B$43,0)),0),0))</f>
        <v/>
      </c>
      <c r="J934" s="25" t="str">
        <f aca="false">IF(G934="","",IF(H934="Yes",G934*I934,0))</f>
        <v/>
      </c>
      <c r="K934" s="25" t="str">
        <f aca="false">IF(OR(C934="",G934=""),"",G934*IFERROR(INDEX(Employees!$F$4:$F$43,MATCH(C934,Employees!$B$4:$B$43,0)),0))</f>
        <v/>
      </c>
      <c r="L934" s="28"/>
    </row>
    <row r="935" customFormat="false" ht="15" hidden="false" customHeight="false" outlineLevel="0" collapsed="false">
      <c r="A935" s="26"/>
      <c r="B935" s="27" t="str">
        <f aca="false">IF(A935="","",A935+7-WEEKDAY(A935,1)+1)</f>
        <v/>
      </c>
      <c r="C935" s="28"/>
      <c r="D935" s="29"/>
      <c r="E935" s="28"/>
      <c r="F935" s="28"/>
      <c r="G935" s="30"/>
      <c r="H935" s="31" t="str">
        <f aca="false">IF(E935="","",IFERROR(INDEX(Lists!$C$2:$C$86,MATCH(E935,Lists!$A$2:$A$86,0)),"?"))</f>
        <v/>
      </c>
      <c r="I935" s="32" t="str">
        <f aca="false">IF(OR(C935="",E935=""),"",IF(H935="Yes",IFERROR(INDEX(Employees!$E$4:$E$43,MATCH(C935,Employees!$B$4:$B$43,0)),0),0))</f>
        <v/>
      </c>
      <c r="J935" s="33" t="str">
        <f aca="false">IF(G935="","",IF(H935="Yes",G935*I935,0))</f>
        <v/>
      </c>
      <c r="K935" s="33" t="str">
        <f aca="false">IF(OR(C935="",G935=""),"",G935*IFERROR(INDEX(Employees!$F$4:$F$43,MATCH(C935,Employees!$B$4:$B$43,0)),0))</f>
        <v/>
      </c>
      <c r="L935" s="28"/>
    </row>
    <row r="936" customFormat="false" ht="15" hidden="false" customHeight="false" outlineLevel="0" collapsed="false">
      <c r="A936" s="26"/>
      <c r="B936" s="19" t="str">
        <f aca="false">IF(A936="","",A936+7-WEEKDAY(A936,1)+1)</f>
        <v/>
      </c>
      <c r="C936" s="28"/>
      <c r="D936" s="29"/>
      <c r="E936" s="28"/>
      <c r="F936" s="28"/>
      <c r="G936" s="30"/>
      <c r="H936" s="23" t="str">
        <f aca="false">IF(E936="","",IFERROR(INDEX(Lists!$C$2:$C$86,MATCH(E936,Lists!$A$2:$A$86,0)),"?"))</f>
        <v/>
      </c>
      <c r="I936" s="24" t="str">
        <f aca="false">IF(OR(C936="",E936=""),"",IF(H936="Yes",IFERROR(INDEX(Employees!$E$4:$E$43,MATCH(C936,Employees!$B$4:$B$43,0)),0),0))</f>
        <v/>
      </c>
      <c r="J936" s="25" t="str">
        <f aca="false">IF(G936="","",IF(H936="Yes",G936*I936,0))</f>
        <v/>
      </c>
      <c r="K936" s="25" t="str">
        <f aca="false">IF(OR(C936="",G936=""),"",G936*IFERROR(INDEX(Employees!$F$4:$F$43,MATCH(C936,Employees!$B$4:$B$43,0)),0))</f>
        <v/>
      </c>
      <c r="L936" s="28"/>
    </row>
    <row r="937" customFormat="false" ht="15" hidden="false" customHeight="false" outlineLevel="0" collapsed="false">
      <c r="A937" s="26"/>
      <c r="B937" s="27" t="str">
        <f aca="false">IF(A937="","",A937+7-WEEKDAY(A937,1)+1)</f>
        <v/>
      </c>
      <c r="C937" s="28"/>
      <c r="D937" s="29"/>
      <c r="E937" s="28"/>
      <c r="F937" s="28"/>
      <c r="G937" s="30"/>
      <c r="H937" s="31" t="str">
        <f aca="false">IF(E937="","",IFERROR(INDEX(Lists!$C$2:$C$86,MATCH(E937,Lists!$A$2:$A$86,0)),"?"))</f>
        <v/>
      </c>
      <c r="I937" s="32" t="str">
        <f aca="false">IF(OR(C937="",E937=""),"",IF(H937="Yes",IFERROR(INDEX(Employees!$E$4:$E$43,MATCH(C937,Employees!$B$4:$B$43,0)),0),0))</f>
        <v/>
      </c>
      <c r="J937" s="33" t="str">
        <f aca="false">IF(G937="","",IF(H937="Yes",G937*I937,0))</f>
        <v/>
      </c>
      <c r="K937" s="33" t="str">
        <f aca="false">IF(OR(C937="",G937=""),"",G937*IFERROR(INDEX(Employees!$F$4:$F$43,MATCH(C937,Employees!$B$4:$B$43,0)),0))</f>
        <v/>
      </c>
      <c r="L937" s="28"/>
    </row>
    <row r="938" customFormat="false" ht="15" hidden="false" customHeight="false" outlineLevel="0" collapsed="false">
      <c r="A938" s="26"/>
      <c r="B938" s="19" t="str">
        <f aca="false">IF(A938="","",A938+7-WEEKDAY(A938,1)+1)</f>
        <v/>
      </c>
      <c r="C938" s="28"/>
      <c r="D938" s="29"/>
      <c r="E938" s="28"/>
      <c r="F938" s="28"/>
      <c r="G938" s="30"/>
      <c r="H938" s="23" t="str">
        <f aca="false">IF(E938="","",IFERROR(INDEX(Lists!$C$2:$C$86,MATCH(E938,Lists!$A$2:$A$86,0)),"?"))</f>
        <v/>
      </c>
      <c r="I938" s="24" t="str">
        <f aca="false">IF(OR(C938="",E938=""),"",IF(H938="Yes",IFERROR(INDEX(Employees!$E$4:$E$43,MATCH(C938,Employees!$B$4:$B$43,0)),0),0))</f>
        <v/>
      </c>
      <c r="J938" s="25" t="str">
        <f aca="false">IF(G938="","",IF(H938="Yes",G938*I938,0))</f>
        <v/>
      </c>
      <c r="K938" s="25" t="str">
        <f aca="false">IF(OR(C938="",G938=""),"",G938*IFERROR(INDEX(Employees!$F$4:$F$43,MATCH(C938,Employees!$B$4:$B$43,0)),0))</f>
        <v/>
      </c>
      <c r="L938" s="28"/>
    </row>
    <row r="939" customFormat="false" ht="15" hidden="false" customHeight="false" outlineLevel="0" collapsed="false">
      <c r="A939" s="26"/>
      <c r="B939" s="27" t="str">
        <f aca="false">IF(A939="","",A939+7-WEEKDAY(A939,1)+1)</f>
        <v/>
      </c>
      <c r="C939" s="28"/>
      <c r="D939" s="29"/>
      <c r="E939" s="28"/>
      <c r="F939" s="28"/>
      <c r="G939" s="30"/>
      <c r="H939" s="31" t="str">
        <f aca="false">IF(E939="","",IFERROR(INDEX(Lists!$C$2:$C$86,MATCH(E939,Lists!$A$2:$A$86,0)),"?"))</f>
        <v/>
      </c>
      <c r="I939" s="32" t="str">
        <f aca="false">IF(OR(C939="",E939=""),"",IF(H939="Yes",IFERROR(INDEX(Employees!$E$4:$E$43,MATCH(C939,Employees!$B$4:$B$43,0)),0),0))</f>
        <v/>
      </c>
      <c r="J939" s="33" t="str">
        <f aca="false">IF(G939="","",IF(H939="Yes",G939*I939,0))</f>
        <v/>
      </c>
      <c r="K939" s="33" t="str">
        <f aca="false">IF(OR(C939="",G939=""),"",G939*IFERROR(INDEX(Employees!$F$4:$F$43,MATCH(C939,Employees!$B$4:$B$43,0)),0))</f>
        <v/>
      </c>
      <c r="L939" s="28"/>
    </row>
    <row r="940" customFormat="false" ht="15" hidden="false" customHeight="false" outlineLevel="0" collapsed="false">
      <c r="A940" s="26"/>
      <c r="B940" s="19" t="str">
        <f aca="false">IF(A940="","",A940+7-WEEKDAY(A940,1)+1)</f>
        <v/>
      </c>
      <c r="C940" s="28"/>
      <c r="D940" s="29"/>
      <c r="E940" s="28"/>
      <c r="F940" s="28"/>
      <c r="G940" s="30"/>
      <c r="H940" s="23" t="str">
        <f aca="false">IF(E940="","",IFERROR(INDEX(Lists!$C$2:$C$86,MATCH(E940,Lists!$A$2:$A$86,0)),"?"))</f>
        <v/>
      </c>
      <c r="I940" s="24" t="str">
        <f aca="false">IF(OR(C940="",E940=""),"",IF(H940="Yes",IFERROR(INDEX(Employees!$E$4:$E$43,MATCH(C940,Employees!$B$4:$B$43,0)),0),0))</f>
        <v/>
      </c>
      <c r="J940" s="25" t="str">
        <f aca="false">IF(G940="","",IF(H940="Yes",G940*I940,0))</f>
        <v/>
      </c>
      <c r="K940" s="25" t="str">
        <f aca="false">IF(OR(C940="",G940=""),"",G940*IFERROR(INDEX(Employees!$F$4:$F$43,MATCH(C940,Employees!$B$4:$B$43,0)),0))</f>
        <v/>
      </c>
      <c r="L940" s="28"/>
    </row>
    <row r="941" customFormat="false" ht="15" hidden="false" customHeight="false" outlineLevel="0" collapsed="false">
      <c r="A941" s="26"/>
      <c r="B941" s="27" t="str">
        <f aca="false">IF(A941="","",A941+7-WEEKDAY(A941,1)+1)</f>
        <v/>
      </c>
      <c r="C941" s="28"/>
      <c r="D941" s="29"/>
      <c r="E941" s="28"/>
      <c r="F941" s="28"/>
      <c r="G941" s="30"/>
      <c r="H941" s="31" t="str">
        <f aca="false">IF(E941="","",IFERROR(INDEX(Lists!$C$2:$C$86,MATCH(E941,Lists!$A$2:$A$86,0)),"?"))</f>
        <v/>
      </c>
      <c r="I941" s="32" t="str">
        <f aca="false">IF(OR(C941="",E941=""),"",IF(H941="Yes",IFERROR(INDEX(Employees!$E$4:$E$43,MATCH(C941,Employees!$B$4:$B$43,0)),0),0))</f>
        <v/>
      </c>
      <c r="J941" s="33" t="str">
        <f aca="false">IF(G941="","",IF(H941="Yes",G941*I941,0))</f>
        <v/>
      </c>
      <c r="K941" s="33" t="str">
        <f aca="false">IF(OR(C941="",G941=""),"",G941*IFERROR(INDEX(Employees!$F$4:$F$43,MATCH(C941,Employees!$B$4:$B$43,0)),0))</f>
        <v/>
      </c>
      <c r="L941" s="28"/>
    </row>
    <row r="942" customFormat="false" ht="15" hidden="false" customHeight="false" outlineLevel="0" collapsed="false">
      <c r="A942" s="26"/>
      <c r="B942" s="19" t="str">
        <f aca="false">IF(A942="","",A942+7-WEEKDAY(A942,1)+1)</f>
        <v/>
      </c>
      <c r="C942" s="28"/>
      <c r="D942" s="29"/>
      <c r="E942" s="28"/>
      <c r="F942" s="28"/>
      <c r="G942" s="30"/>
      <c r="H942" s="23" t="str">
        <f aca="false">IF(E942="","",IFERROR(INDEX(Lists!$C$2:$C$86,MATCH(E942,Lists!$A$2:$A$86,0)),"?"))</f>
        <v/>
      </c>
      <c r="I942" s="24" t="str">
        <f aca="false">IF(OR(C942="",E942=""),"",IF(H942="Yes",IFERROR(INDEX(Employees!$E$4:$E$43,MATCH(C942,Employees!$B$4:$B$43,0)),0),0))</f>
        <v/>
      </c>
      <c r="J942" s="25" t="str">
        <f aca="false">IF(G942="","",IF(H942="Yes",G942*I942,0))</f>
        <v/>
      </c>
      <c r="K942" s="25" t="str">
        <f aca="false">IF(OR(C942="",G942=""),"",G942*IFERROR(INDEX(Employees!$F$4:$F$43,MATCH(C942,Employees!$B$4:$B$43,0)),0))</f>
        <v/>
      </c>
      <c r="L942" s="28"/>
    </row>
    <row r="943" customFormat="false" ht="15" hidden="false" customHeight="false" outlineLevel="0" collapsed="false">
      <c r="A943" s="26"/>
      <c r="B943" s="27" t="str">
        <f aca="false">IF(A943="","",A943+7-WEEKDAY(A943,1)+1)</f>
        <v/>
      </c>
      <c r="C943" s="28"/>
      <c r="D943" s="29"/>
      <c r="E943" s="28"/>
      <c r="F943" s="28"/>
      <c r="G943" s="30"/>
      <c r="H943" s="31" t="str">
        <f aca="false">IF(E943="","",IFERROR(INDEX(Lists!$C$2:$C$86,MATCH(E943,Lists!$A$2:$A$86,0)),"?"))</f>
        <v/>
      </c>
      <c r="I943" s="32" t="str">
        <f aca="false">IF(OR(C943="",E943=""),"",IF(H943="Yes",IFERROR(INDEX(Employees!$E$4:$E$43,MATCH(C943,Employees!$B$4:$B$43,0)),0),0))</f>
        <v/>
      </c>
      <c r="J943" s="33" t="str">
        <f aca="false">IF(G943="","",IF(H943="Yes",G943*I943,0))</f>
        <v/>
      </c>
      <c r="K943" s="33" t="str">
        <f aca="false">IF(OR(C943="",G943=""),"",G943*IFERROR(INDEX(Employees!$F$4:$F$43,MATCH(C943,Employees!$B$4:$B$43,0)),0))</f>
        <v/>
      </c>
      <c r="L943" s="28"/>
    </row>
    <row r="944" customFormat="false" ht="15" hidden="false" customHeight="false" outlineLevel="0" collapsed="false">
      <c r="A944" s="26"/>
      <c r="B944" s="19" t="str">
        <f aca="false">IF(A944="","",A944+7-WEEKDAY(A944,1)+1)</f>
        <v/>
      </c>
      <c r="C944" s="28"/>
      <c r="D944" s="29"/>
      <c r="E944" s="28"/>
      <c r="F944" s="28"/>
      <c r="G944" s="30"/>
      <c r="H944" s="23" t="str">
        <f aca="false">IF(E944="","",IFERROR(INDEX(Lists!$C$2:$C$86,MATCH(E944,Lists!$A$2:$A$86,0)),"?"))</f>
        <v/>
      </c>
      <c r="I944" s="24" t="str">
        <f aca="false">IF(OR(C944="",E944=""),"",IF(H944="Yes",IFERROR(INDEX(Employees!$E$4:$E$43,MATCH(C944,Employees!$B$4:$B$43,0)),0),0))</f>
        <v/>
      </c>
      <c r="J944" s="25" t="str">
        <f aca="false">IF(G944="","",IF(H944="Yes",G944*I944,0))</f>
        <v/>
      </c>
      <c r="K944" s="25" t="str">
        <f aca="false">IF(OR(C944="",G944=""),"",G944*IFERROR(INDEX(Employees!$F$4:$F$43,MATCH(C944,Employees!$B$4:$B$43,0)),0))</f>
        <v/>
      </c>
      <c r="L944" s="28"/>
    </row>
    <row r="945" customFormat="false" ht="15" hidden="false" customHeight="false" outlineLevel="0" collapsed="false">
      <c r="A945" s="26"/>
      <c r="B945" s="27" t="str">
        <f aca="false">IF(A945="","",A945+7-WEEKDAY(A945,1)+1)</f>
        <v/>
      </c>
      <c r="C945" s="28"/>
      <c r="D945" s="29"/>
      <c r="E945" s="28"/>
      <c r="F945" s="28"/>
      <c r="G945" s="30"/>
      <c r="H945" s="31" t="str">
        <f aca="false">IF(E945="","",IFERROR(INDEX(Lists!$C$2:$C$86,MATCH(E945,Lists!$A$2:$A$86,0)),"?"))</f>
        <v/>
      </c>
      <c r="I945" s="32" t="str">
        <f aca="false">IF(OR(C945="",E945=""),"",IF(H945="Yes",IFERROR(INDEX(Employees!$E$4:$E$43,MATCH(C945,Employees!$B$4:$B$43,0)),0),0))</f>
        <v/>
      </c>
      <c r="J945" s="33" t="str">
        <f aca="false">IF(G945="","",IF(H945="Yes",G945*I945,0))</f>
        <v/>
      </c>
      <c r="K945" s="33" t="str">
        <f aca="false">IF(OR(C945="",G945=""),"",G945*IFERROR(INDEX(Employees!$F$4:$F$43,MATCH(C945,Employees!$B$4:$B$43,0)),0))</f>
        <v/>
      </c>
      <c r="L945" s="28"/>
    </row>
    <row r="946" customFormat="false" ht="15" hidden="false" customHeight="false" outlineLevel="0" collapsed="false">
      <c r="A946" s="26"/>
      <c r="B946" s="19" t="str">
        <f aca="false">IF(A946="","",A946+7-WEEKDAY(A946,1)+1)</f>
        <v/>
      </c>
      <c r="C946" s="28"/>
      <c r="D946" s="29"/>
      <c r="E946" s="28"/>
      <c r="F946" s="28"/>
      <c r="G946" s="30"/>
      <c r="H946" s="23" t="str">
        <f aca="false">IF(E946="","",IFERROR(INDEX(Lists!$C$2:$C$86,MATCH(E946,Lists!$A$2:$A$86,0)),"?"))</f>
        <v/>
      </c>
      <c r="I946" s="24" t="str">
        <f aca="false">IF(OR(C946="",E946=""),"",IF(H946="Yes",IFERROR(INDEX(Employees!$E$4:$E$43,MATCH(C946,Employees!$B$4:$B$43,0)),0),0))</f>
        <v/>
      </c>
      <c r="J946" s="25" t="str">
        <f aca="false">IF(G946="","",IF(H946="Yes",G946*I946,0))</f>
        <v/>
      </c>
      <c r="K946" s="25" t="str">
        <f aca="false">IF(OR(C946="",G946=""),"",G946*IFERROR(INDEX(Employees!$F$4:$F$43,MATCH(C946,Employees!$B$4:$B$43,0)),0))</f>
        <v/>
      </c>
      <c r="L946" s="28"/>
    </row>
    <row r="947" customFormat="false" ht="15" hidden="false" customHeight="false" outlineLevel="0" collapsed="false">
      <c r="A947" s="26"/>
      <c r="B947" s="27" t="str">
        <f aca="false">IF(A947="","",A947+7-WEEKDAY(A947,1)+1)</f>
        <v/>
      </c>
      <c r="C947" s="28"/>
      <c r="D947" s="29"/>
      <c r="E947" s="28"/>
      <c r="F947" s="28"/>
      <c r="G947" s="30"/>
      <c r="H947" s="31" t="str">
        <f aca="false">IF(E947="","",IFERROR(INDEX(Lists!$C$2:$C$86,MATCH(E947,Lists!$A$2:$A$86,0)),"?"))</f>
        <v/>
      </c>
      <c r="I947" s="32" t="str">
        <f aca="false">IF(OR(C947="",E947=""),"",IF(H947="Yes",IFERROR(INDEX(Employees!$E$4:$E$43,MATCH(C947,Employees!$B$4:$B$43,0)),0),0))</f>
        <v/>
      </c>
      <c r="J947" s="33" t="str">
        <f aca="false">IF(G947="","",IF(H947="Yes",G947*I947,0))</f>
        <v/>
      </c>
      <c r="K947" s="33" t="str">
        <f aca="false">IF(OR(C947="",G947=""),"",G947*IFERROR(INDEX(Employees!$F$4:$F$43,MATCH(C947,Employees!$B$4:$B$43,0)),0))</f>
        <v/>
      </c>
      <c r="L947" s="28"/>
    </row>
    <row r="948" customFormat="false" ht="15" hidden="false" customHeight="false" outlineLevel="0" collapsed="false">
      <c r="A948" s="26"/>
      <c r="B948" s="19" t="str">
        <f aca="false">IF(A948="","",A948+7-WEEKDAY(A948,1)+1)</f>
        <v/>
      </c>
      <c r="C948" s="28"/>
      <c r="D948" s="29"/>
      <c r="E948" s="28"/>
      <c r="F948" s="28"/>
      <c r="G948" s="30"/>
      <c r="H948" s="23" t="str">
        <f aca="false">IF(E948="","",IFERROR(INDEX(Lists!$C$2:$C$86,MATCH(E948,Lists!$A$2:$A$86,0)),"?"))</f>
        <v/>
      </c>
      <c r="I948" s="24" t="str">
        <f aca="false">IF(OR(C948="",E948=""),"",IF(H948="Yes",IFERROR(INDEX(Employees!$E$4:$E$43,MATCH(C948,Employees!$B$4:$B$43,0)),0),0))</f>
        <v/>
      </c>
      <c r="J948" s="25" t="str">
        <f aca="false">IF(G948="","",IF(H948="Yes",G948*I948,0))</f>
        <v/>
      </c>
      <c r="K948" s="25" t="str">
        <f aca="false">IF(OR(C948="",G948=""),"",G948*IFERROR(INDEX(Employees!$F$4:$F$43,MATCH(C948,Employees!$B$4:$B$43,0)),0))</f>
        <v/>
      </c>
      <c r="L948" s="28"/>
    </row>
    <row r="949" customFormat="false" ht="15" hidden="false" customHeight="false" outlineLevel="0" collapsed="false">
      <c r="A949" s="26"/>
      <c r="B949" s="27" t="str">
        <f aca="false">IF(A949="","",A949+7-WEEKDAY(A949,1)+1)</f>
        <v/>
      </c>
      <c r="C949" s="28"/>
      <c r="D949" s="29"/>
      <c r="E949" s="28"/>
      <c r="F949" s="28"/>
      <c r="G949" s="30"/>
      <c r="H949" s="31" t="str">
        <f aca="false">IF(E949="","",IFERROR(INDEX(Lists!$C$2:$C$86,MATCH(E949,Lists!$A$2:$A$86,0)),"?"))</f>
        <v/>
      </c>
      <c r="I949" s="32" t="str">
        <f aca="false">IF(OR(C949="",E949=""),"",IF(H949="Yes",IFERROR(INDEX(Employees!$E$4:$E$43,MATCH(C949,Employees!$B$4:$B$43,0)),0),0))</f>
        <v/>
      </c>
      <c r="J949" s="33" t="str">
        <f aca="false">IF(G949="","",IF(H949="Yes",G949*I949,0))</f>
        <v/>
      </c>
      <c r="K949" s="33" t="str">
        <f aca="false">IF(OR(C949="",G949=""),"",G949*IFERROR(INDEX(Employees!$F$4:$F$43,MATCH(C949,Employees!$B$4:$B$43,0)),0))</f>
        <v/>
      </c>
      <c r="L949" s="28"/>
    </row>
    <row r="950" customFormat="false" ht="15" hidden="false" customHeight="false" outlineLevel="0" collapsed="false">
      <c r="A950" s="26"/>
      <c r="B950" s="19" t="str">
        <f aca="false">IF(A950="","",A950+7-WEEKDAY(A950,1)+1)</f>
        <v/>
      </c>
      <c r="C950" s="28"/>
      <c r="D950" s="29"/>
      <c r="E950" s="28"/>
      <c r="F950" s="28"/>
      <c r="G950" s="30"/>
      <c r="H950" s="23" t="str">
        <f aca="false">IF(E950="","",IFERROR(INDEX(Lists!$C$2:$C$86,MATCH(E950,Lists!$A$2:$A$86,0)),"?"))</f>
        <v/>
      </c>
      <c r="I950" s="24" t="str">
        <f aca="false">IF(OR(C950="",E950=""),"",IF(H950="Yes",IFERROR(INDEX(Employees!$E$4:$E$43,MATCH(C950,Employees!$B$4:$B$43,0)),0),0))</f>
        <v/>
      </c>
      <c r="J950" s="25" t="str">
        <f aca="false">IF(G950="","",IF(H950="Yes",G950*I950,0))</f>
        <v/>
      </c>
      <c r="K950" s="25" t="str">
        <f aca="false">IF(OR(C950="",G950=""),"",G950*IFERROR(INDEX(Employees!$F$4:$F$43,MATCH(C950,Employees!$B$4:$B$43,0)),0))</f>
        <v/>
      </c>
      <c r="L950" s="28"/>
    </row>
    <row r="951" customFormat="false" ht="15" hidden="false" customHeight="false" outlineLevel="0" collapsed="false">
      <c r="A951" s="26"/>
      <c r="B951" s="27" t="str">
        <f aca="false">IF(A951="","",A951+7-WEEKDAY(A951,1)+1)</f>
        <v/>
      </c>
      <c r="C951" s="28"/>
      <c r="D951" s="29"/>
      <c r="E951" s="28"/>
      <c r="F951" s="28"/>
      <c r="G951" s="30"/>
      <c r="H951" s="31" t="str">
        <f aca="false">IF(E951="","",IFERROR(INDEX(Lists!$C$2:$C$86,MATCH(E951,Lists!$A$2:$A$86,0)),"?"))</f>
        <v/>
      </c>
      <c r="I951" s="32" t="str">
        <f aca="false">IF(OR(C951="",E951=""),"",IF(H951="Yes",IFERROR(INDEX(Employees!$E$4:$E$43,MATCH(C951,Employees!$B$4:$B$43,0)),0),0))</f>
        <v/>
      </c>
      <c r="J951" s="33" t="str">
        <f aca="false">IF(G951="","",IF(H951="Yes",G951*I951,0))</f>
        <v/>
      </c>
      <c r="K951" s="33" t="str">
        <f aca="false">IF(OR(C951="",G951=""),"",G951*IFERROR(INDEX(Employees!$F$4:$F$43,MATCH(C951,Employees!$B$4:$B$43,0)),0))</f>
        <v/>
      </c>
      <c r="L951" s="28"/>
    </row>
    <row r="952" customFormat="false" ht="15" hidden="false" customHeight="false" outlineLevel="0" collapsed="false">
      <c r="A952" s="26"/>
      <c r="B952" s="19" t="str">
        <f aca="false">IF(A952="","",A952+7-WEEKDAY(A952,1)+1)</f>
        <v/>
      </c>
      <c r="C952" s="28"/>
      <c r="D952" s="29"/>
      <c r="E952" s="28"/>
      <c r="F952" s="28"/>
      <c r="G952" s="30"/>
      <c r="H952" s="23" t="str">
        <f aca="false">IF(E952="","",IFERROR(INDEX(Lists!$C$2:$C$86,MATCH(E952,Lists!$A$2:$A$86,0)),"?"))</f>
        <v/>
      </c>
      <c r="I952" s="24" t="str">
        <f aca="false">IF(OR(C952="",E952=""),"",IF(H952="Yes",IFERROR(INDEX(Employees!$E$4:$E$43,MATCH(C952,Employees!$B$4:$B$43,0)),0),0))</f>
        <v/>
      </c>
      <c r="J952" s="25" t="str">
        <f aca="false">IF(G952="","",IF(H952="Yes",G952*I952,0))</f>
        <v/>
      </c>
      <c r="K952" s="25" t="str">
        <f aca="false">IF(OR(C952="",G952=""),"",G952*IFERROR(INDEX(Employees!$F$4:$F$43,MATCH(C952,Employees!$B$4:$B$43,0)),0))</f>
        <v/>
      </c>
      <c r="L952" s="28"/>
    </row>
    <row r="953" customFormat="false" ht="15" hidden="false" customHeight="false" outlineLevel="0" collapsed="false">
      <c r="A953" s="26"/>
      <c r="B953" s="27" t="str">
        <f aca="false">IF(A953="","",A953+7-WEEKDAY(A953,1)+1)</f>
        <v/>
      </c>
      <c r="C953" s="28"/>
      <c r="D953" s="29"/>
      <c r="E953" s="28"/>
      <c r="F953" s="28"/>
      <c r="G953" s="30"/>
      <c r="H953" s="31" t="str">
        <f aca="false">IF(E953="","",IFERROR(INDEX(Lists!$C$2:$C$86,MATCH(E953,Lists!$A$2:$A$86,0)),"?"))</f>
        <v/>
      </c>
      <c r="I953" s="32" t="str">
        <f aca="false">IF(OR(C953="",E953=""),"",IF(H953="Yes",IFERROR(INDEX(Employees!$E$4:$E$43,MATCH(C953,Employees!$B$4:$B$43,0)),0),0))</f>
        <v/>
      </c>
      <c r="J953" s="33" t="str">
        <f aca="false">IF(G953="","",IF(H953="Yes",G953*I953,0))</f>
        <v/>
      </c>
      <c r="K953" s="33" t="str">
        <f aca="false">IF(OR(C953="",G953=""),"",G953*IFERROR(INDEX(Employees!$F$4:$F$43,MATCH(C953,Employees!$B$4:$B$43,0)),0))</f>
        <v/>
      </c>
      <c r="L953" s="28"/>
    </row>
    <row r="954" customFormat="false" ht="15" hidden="false" customHeight="false" outlineLevel="0" collapsed="false">
      <c r="A954" s="26"/>
      <c r="B954" s="19" t="str">
        <f aca="false">IF(A954="","",A954+7-WEEKDAY(A954,1)+1)</f>
        <v/>
      </c>
      <c r="C954" s="28"/>
      <c r="D954" s="29"/>
      <c r="E954" s="28"/>
      <c r="F954" s="28"/>
      <c r="G954" s="30"/>
      <c r="H954" s="23" t="str">
        <f aca="false">IF(E954="","",IFERROR(INDEX(Lists!$C$2:$C$86,MATCH(E954,Lists!$A$2:$A$86,0)),"?"))</f>
        <v/>
      </c>
      <c r="I954" s="24" t="str">
        <f aca="false">IF(OR(C954="",E954=""),"",IF(H954="Yes",IFERROR(INDEX(Employees!$E$4:$E$43,MATCH(C954,Employees!$B$4:$B$43,0)),0),0))</f>
        <v/>
      </c>
      <c r="J954" s="25" t="str">
        <f aca="false">IF(G954="","",IF(H954="Yes",G954*I954,0))</f>
        <v/>
      </c>
      <c r="K954" s="25" t="str">
        <f aca="false">IF(OR(C954="",G954=""),"",G954*IFERROR(INDEX(Employees!$F$4:$F$43,MATCH(C954,Employees!$B$4:$B$43,0)),0))</f>
        <v/>
      </c>
      <c r="L954" s="28"/>
    </row>
    <row r="955" customFormat="false" ht="15" hidden="false" customHeight="false" outlineLevel="0" collapsed="false">
      <c r="A955" s="26"/>
      <c r="B955" s="27" t="str">
        <f aca="false">IF(A955="","",A955+7-WEEKDAY(A955,1)+1)</f>
        <v/>
      </c>
      <c r="C955" s="28"/>
      <c r="D955" s="29"/>
      <c r="E955" s="28"/>
      <c r="F955" s="28"/>
      <c r="G955" s="30"/>
      <c r="H955" s="31" t="str">
        <f aca="false">IF(E955="","",IFERROR(INDEX(Lists!$C$2:$C$86,MATCH(E955,Lists!$A$2:$A$86,0)),"?"))</f>
        <v/>
      </c>
      <c r="I955" s="32" t="str">
        <f aca="false">IF(OR(C955="",E955=""),"",IF(H955="Yes",IFERROR(INDEX(Employees!$E$4:$E$43,MATCH(C955,Employees!$B$4:$B$43,0)),0),0))</f>
        <v/>
      </c>
      <c r="J955" s="33" t="str">
        <f aca="false">IF(G955="","",IF(H955="Yes",G955*I955,0))</f>
        <v/>
      </c>
      <c r="K955" s="33" t="str">
        <f aca="false">IF(OR(C955="",G955=""),"",G955*IFERROR(INDEX(Employees!$F$4:$F$43,MATCH(C955,Employees!$B$4:$B$43,0)),0))</f>
        <v/>
      </c>
      <c r="L955" s="28"/>
    </row>
    <row r="956" customFormat="false" ht="15" hidden="false" customHeight="false" outlineLevel="0" collapsed="false">
      <c r="A956" s="26"/>
      <c r="B956" s="19" t="str">
        <f aca="false">IF(A956="","",A956+7-WEEKDAY(A956,1)+1)</f>
        <v/>
      </c>
      <c r="C956" s="28"/>
      <c r="D956" s="29"/>
      <c r="E956" s="28"/>
      <c r="F956" s="28"/>
      <c r="G956" s="30"/>
      <c r="H956" s="23" t="str">
        <f aca="false">IF(E956="","",IFERROR(INDEX(Lists!$C$2:$C$86,MATCH(E956,Lists!$A$2:$A$86,0)),"?"))</f>
        <v/>
      </c>
      <c r="I956" s="24" t="str">
        <f aca="false">IF(OR(C956="",E956=""),"",IF(H956="Yes",IFERROR(INDEX(Employees!$E$4:$E$43,MATCH(C956,Employees!$B$4:$B$43,0)),0),0))</f>
        <v/>
      </c>
      <c r="J956" s="25" t="str">
        <f aca="false">IF(G956="","",IF(H956="Yes",G956*I956,0))</f>
        <v/>
      </c>
      <c r="K956" s="25" t="str">
        <f aca="false">IF(OR(C956="",G956=""),"",G956*IFERROR(INDEX(Employees!$F$4:$F$43,MATCH(C956,Employees!$B$4:$B$43,0)),0))</f>
        <v/>
      </c>
      <c r="L956" s="28"/>
    </row>
    <row r="957" customFormat="false" ht="15" hidden="false" customHeight="false" outlineLevel="0" collapsed="false">
      <c r="A957" s="26"/>
      <c r="B957" s="27" t="str">
        <f aca="false">IF(A957="","",A957+7-WEEKDAY(A957,1)+1)</f>
        <v/>
      </c>
      <c r="C957" s="28"/>
      <c r="D957" s="29"/>
      <c r="E957" s="28"/>
      <c r="F957" s="28"/>
      <c r="G957" s="30"/>
      <c r="H957" s="31" t="str">
        <f aca="false">IF(E957="","",IFERROR(INDEX(Lists!$C$2:$C$86,MATCH(E957,Lists!$A$2:$A$86,0)),"?"))</f>
        <v/>
      </c>
      <c r="I957" s="32" t="str">
        <f aca="false">IF(OR(C957="",E957=""),"",IF(H957="Yes",IFERROR(INDEX(Employees!$E$4:$E$43,MATCH(C957,Employees!$B$4:$B$43,0)),0),0))</f>
        <v/>
      </c>
      <c r="J957" s="33" t="str">
        <f aca="false">IF(G957="","",IF(H957="Yes",G957*I957,0))</f>
        <v/>
      </c>
      <c r="K957" s="33" t="str">
        <f aca="false">IF(OR(C957="",G957=""),"",G957*IFERROR(INDEX(Employees!$F$4:$F$43,MATCH(C957,Employees!$B$4:$B$43,0)),0))</f>
        <v/>
      </c>
      <c r="L957" s="28"/>
    </row>
    <row r="958" customFormat="false" ht="15" hidden="false" customHeight="false" outlineLevel="0" collapsed="false">
      <c r="A958" s="26"/>
      <c r="B958" s="19" t="str">
        <f aca="false">IF(A958="","",A958+7-WEEKDAY(A958,1)+1)</f>
        <v/>
      </c>
      <c r="C958" s="28"/>
      <c r="D958" s="29"/>
      <c r="E958" s="28"/>
      <c r="F958" s="28"/>
      <c r="G958" s="30"/>
      <c r="H958" s="23" t="str">
        <f aca="false">IF(E958="","",IFERROR(INDEX(Lists!$C$2:$C$86,MATCH(E958,Lists!$A$2:$A$86,0)),"?"))</f>
        <v/>
      </c>
      <c r="I958" s="24" t="str">
        <f aca="false">IF(OR(C958="",E958=""),"",IF(H958="Yes",IFERROR(INDEX(Employees!$E$4:$E$43,MATCH(C958,Employees!$B$4:$B$43,0)),0),0))</f>
        <v/>
      </c>
      <c r="J958" s="25" t="str">
        <f aca="false">IF(G958="","",IF(H958="Yes",G958*I958,0))</f>
        <v/>
      </c>
      <c r="K958" s="25" t="str">
        <f aca="false">IF(OR(C958="",G958=""),"",G958*IFERROR(INDEX(Employees!$F$4:$F$43,MATCH(C958,Employees!$B$4:$B$43,0)),0))</f>
        <v/>
      </c>
      <c r="L958" s="28"/>
    </row>
    <row r="959" customFormat="false" ht="15" hidden="false" customHeight="false" outlineLevel="0" collapsed="false">
      <c r="A959" s="26"/>
      <c r="B959" s="27" t="str">
        <f aca="false">IF(A959="","",A959+7-WEEKDAY(A959,1)+1)</f>
        <v/>
      </c>
      <c r="C959" s="28"/>
      <c r="D959" s="29"/>
      <c r="E959" s="28"/>
      <c r="F959" s="28"/>
      <c r="G959" s="30"/>
      <c r="H959" s="31" t="str">
        <f aca="false">IF(E959="","",IFERROR(INDEX(Lists!$C$2:$C$86,MATCH(E959,Lists!$A$2:$A$86,0)),"?"))</f>
        <v/>
      </c>
      <c r="I959" s="32" t="str">
        <f aca="false">IF(OR(C959="",E959=""),"",IF(H959="Yes",IFERROR(INDEX(Employees!$E$4:$E$43,MATCH(C959,Employees!$B$4:$B$43,0)),0),0))</f>
        <v/>
      </c>
      <c r="J959" s="33" t="str">
        <f aca="false">IF(G959="","",IF(H959="Yes",G959*I959,0))</f>
        <v/>
      </c>
      <c r="K959" s="33" t="str">
        <f aca="false">IF(OR(C959="",G959=""),"",G959*IFERROR(INDEX(Employees!$F$4:$F$43,MATCH(C959,Employees!$B$4:$B$43,0)),0))</f>
        <v/>
      </c>
      <c r="L959" s="28"/>
    </row>
    <row r="960" customFormat="false" ht="15" hidden="false" customHeight="false" outlineLevel="0" collapsed="false">
      <c r="A960" s="26"/>
      <c r="B960" s="19" t="str">
        <f aca="false">IF(A960="","",A960+7-WEEKDAY(A960,1)+1)</f>
        <v/>
      </c>
      <c r="C960" s="28"/>
      <c r="D960" s="29"/>
      <c r="E960" s="28"/>
      <c r="F960" s="28"/>
      <c r="G960" s="30"/>
      <c r="H960" s="23" t="str">
        <f aca="false">IF(E960="","",IFERROR(INDEX(Lists!$C$2:$C$86,MATCH(E960,Lists!$A$2:$A$86,0)),"?"))</f>
        <v/>
      </c>
      <c r="I960" s="24" t="str">
        <f aca="false">IF(OR(C960="",E960=""),"",IF(H960="Yes",IFERROR(INDEX(Employees!$E$4:$E$43,MATCH(C960,Employees!$B$4:$B$43,0)),0),0))</f>
        <v/>
      </c>
      <c r="J960" s="25" t="str">
        <f aca="false">IF(G960="","",IF(H960="Yes",G960*I960,0))</f>
        <v/>
      </c>
      <c r="K960" s="25" t="str">
        <f aca="false">IF(OR(C960="",G960=""),"",G960*IFERROR(INDEX(Employees!$F$4:$F$43,MATCH(C960,Employees!$B$4:$B$43,0)),0))</f>
        <v/>
      </c>
      <c r="L960" s="28"/>
    </row>
    <row r="961" customFormat="false" ht="15" hidden="false" customHeight="false" outlineLevel="0" collapsed="false">
      <c r="A961" s="26"/>
      <c r="B961" s="27" t="str">
        <f aca="false">IF(A961="","",A961+7-WEEKDAY(A961,1)+1)</f>
        <v/>
      </c>
      <c r="C961" s="28"/>
      <c r="D961" s="29"/>
      <c r="E961" s="28"/>
      <c r="F961" s="28"/>
      <c r="G961" s="30"/>
      <c r="H961" s="31" t="str">
        <f aca="false">IF(E961="","",IFERROR(INDEX(Lists!$C$2:$C$86,MATCH(E961,Lists!$A$2:$A$86,0)),"?"))</f>
        <v/>
      </c>
      <c r="I961" s="32" t="str">
        <f aca="false">IF(OR(C961="",E961=""),"",IF(H961="Yes",IFERROR(INDEX(Employees!$E$4:$E$43,MATCH(C961,Employees!$B$4:$B$43,0)),0),0))</f>
        <v/>
      </c>
      <c r="J961" s="33" t="str">
        <f aca="false">IF(G961="","",IF(H961="Yes",G961*I961,0))</f>
        <v/>
      </c>
      <c r="K961" s="33" t="str">
        <f aca="false">IF(OR(C961="",G961=""),"",G961*IFERROR(INDEX(Employees!$F$4:$F$43,MATCH(C961,Employees!$B$4:$B$43,0)),0))</f>
        <v/>
      </c>
      <c r="L961" s="28"/>
    </row>
    <row r="962" customFormat="false" ht="15" hidden="false" customHeight="false" outlineLevel="0" collapsed="false">
      <c r="A962" s="26"/>
      <c r="B962" s="19" t="str">
        <f aca="false">IF(A962="","",A962+7-WEEKDAY(A962,1)+1)</f>
        <v/>
      </c>
      <c r="C962" s="28"/>
      <c r="D962" s="29"/>
      <c r="E962" s="28"/>
      <c r="F962" s="28"/>
      <c r="G962" s="30"/>
      <c r="H962" s="23" t="str">
        <f aca="false">IF(E962="","",IFERROR(INDEX(Lists!$C$2:$C$86,MATCH(E962,Lists!$A$2:$A$86,0)),"?"))</f>
        <v/>
      </c>
      <c r="I962" s="24" t="str">
        <f aca="false">IF(OR(C962="",E962=""),"",IF(H962="Yes",IFERROR(INDEX(Employees!$E$4:$E$43,MATCH(C962,Employees!$B$4:$B$43,0)),0),0))</f>
        <v/>
      </c>
      <c r="J962" s="25" t="str">
        <f aca="false">IF(G962="","",IF(H962="Yes",G962*I962,0))</f>
        <v/>
      </c>
      <c r="K962" s="25" t="str">
        <f aca="false">IF(OR(C962="",G962=""),"",G962*IFERROR(INDEX(Employees!$F$4:$F$43,MATCH(C962,Employees!$B$4:$B$43,0)),0))</f>
        <v/>
      </c>
      <c r="L962" s="28"/>
    </row>
    <row r="963" customFormat="false" ht="15" hidden="false" customHeight="false" outlineLevel="0" collapsed="false">
      <c r="A963" s="26"/>
      <c r="B963" s="27" t="str">
        <f aca="false">IF(A963="","",A963+7-WEEKDAY(A963,1)+1)</f>
        <v/>
      </c>
      <c r="C963" s="28"/>
      <c r="D963" s="29"/>
      <c r="E963" s="28"/>
      <c r="F963" s="28"/>
      <c r="G963" s="30"/>
      <c r="H963" s="31" t="str">
        <f aca="false">IF(E963="","",IFERROR(INDEX(Lists!$C$2:$C$86,MATCH(E963,Lists!$A$2:$A$86,0)),"?"))</f>
        <v/>
      </c>
      <c r="I963" s="32" t="str">
        <f aca="false">IF(OR(C963="",E963=""),"",IF(H963="Yes",IFERROR(INDEX(Employees!$E$4:$E$43,MATCH(C963,Employees!$B$4:$B$43,0)),0),0))</f>
        <v/>
      </c>
      <c r="J963" s="33" t="str">
        <f aca="false">IF(G963="","",IF(H963="Yes",G963*I963,0))</f>
        <v/>
      </c>
      <c r="K963" s="33" t="str">
        <f aca="false">IF(OR(C963="",G963=""),"",G963*IFERROR(INDEX(Employees!$F$4:$F$43,MATCH(C963,Employees!$B$4:$B$43,0)),0))</f>
        <v/>
      </c>
      <c r="L963" s="28"/>
    </row>
    <row r="964" customFormat="false" ht="15" hidden="false" customHeight="false" outlineLevel="0" collapsed="false">
      <c r="A964" s="26"/>
      <c r="B964" s="19" t="str">
        <f aca="false">IF(A964="","",A964+7-WEEKDAY(A964,1)+1)</f>
        <v/>
      </c>
      <c r="C964" s="28"/>
      <c r="D964" s="29"/>
      <c r="E964" s="28"/>
      <c r="F964" s="28"/>
      <c r="G964" s="30"/>
      <c r="H964" s="23" t="str">
        <f aca="false">IF(E964="","",IFERROR(INDEX(Lists!$C$2:$C$86,MATCH(E964,Lists!$A$2:$A$86,0)),"?"))</f>
        <v/>
      </c>
      <c r="I964" s="24" t="str">
        <f aca="false">IF(OR(C964="",E964=""),"",IF(H964="Yes",IFERROR(INDEX(Employees!$E$4:$E$43,MATCH(C964,Employees!$B$4:$B$43,0)),0),0))</f>
        <v/>
      </c>
      <c r="J964" s="25" t="str">
        <f aca="false">IF(G964="","",IF(H964="Yes",G964*I964,0))</f>
        <v/>
      </c>
      <c r="K964" s="25" t="str">
        <f aca="false">IF(OR(C964="",G964=""),"",G964*IFERROR(INDEX(Employees!$F$4:$F$43,MATCH(C964,Employees!$B$4:$B$43,0)),0))</f>
        <v/>
      </c>
      <c r="L964" s="28"/>
    </row>
    <row r="965" customFormat="false" ht="15" hidden="false" customHeight="false" outlineLevel="0" collapsed="false">
      <c r="A965" s="26"/>
      <c r="B965" s="27" t="str">
        <f aca="false">IF(A965="","",A965+7-WEEKDAY(A965,1)+1)</f>
        <v/>
      </c>
      <c r="C965" s="28"/>
      <c r="D965" s="29"/>
      <c r="E965" s="28"/>
      <c r="F965" s="28"/>
      <c r="G965" s="30"/>
      <c r="H965" s="31" t="str">
        <f aca="false">IF(E965="","",IFERROR(INDEX(Lists!$C$2:$C$86,MATCH(E965,Lists!$A$2:$A$86,0)),"?"))</f>
        <v/>
      </c>
      <c r="I965" s="32" t="str">
        <f aca="false">IF(OR(C965="",E965=""),"",IF(H965="Yes",IFERROR(INDEX(Employees!$E$4:$E$43,MATCH(C965,Employees!$B$4:$B$43,0)),0),0))</f>
        <v/>
      </c>
      <c r="J965" s="33" t="str">
        <f aca="false">IF(G965="","",IF(H965="Yes",G965*I965,0))</f>
        <v/>
      </c>
      <c r="K965" s="33" t="str">
        <f aca="false">IF(OR(C965="",G965=""),"",G965*IFERROR(INDEX(Employees!$F$4:$F$43,MATCH(C965,Employees!$B$4:$B$43,0)),0))</f>
        <v/>
      </c>
      <c r="L965" s="28"/>
    </row>
    <row r="966" customFormat="false" ht="15" hidden="false" customHeight="false" outlineLevel="0" collapsed="false">
      <c r="A966" s="26"/>
      <c r="B966" s="19" t="str">
        <f aca="false">IF(A966="","",A966+7-WEEKDAY(A966,1)+1)</f>
        <v/>
      </c>
      <c r="C966" s="28"/>
      <c r="D966" s="29"/>
      <c r="E966" s="28"/>
      <c r="F966" s="28"/>
      <c r="G966" s="30"/>
      <c r="H966" s="23" t="str">
        <f aca="false">IF(E966="","",IFERROR(INDEX(Lists!$C$2:$C$86,MATCH(E966,Lists!$A$2:$A$86,0)),"?"))</f>
        <v/>
      </c>
      <c r="I966" s="24" t="str">
        <f aca="false">IF(OR(C966="",E966=""),"",IF(H966="Yes",IFERROR(INDEX(Employees!$E$4:$E$43,MATCH(C966,Employees!$B$4:$B$43,0)),0),0))</f>
        <v/>
      </c>
      <c r="J966" s="25" t="str">
        <f aca="false">IF(G966="","",IF(H966="Yes",G966*I966,0))</f>
        <v/>
      </c>
      <c r="K966" s="25" t="str">
        <f aca="false">IF(OR(C966="",G966=""),"",G966*IFERROR(INDEX(Employees!$F$4:$F$43,MATCH(C966,Employees!$B$4:$B$43,0)),0))</f>
        <v/>
      </c>
      <c r="L966" s="28"/>
    </row>
    <row r="967" customFormat="false" ht="15" hidden="false" customHeight="false" outlineLevel="0" collapsed="false">
      <c r="A967" s="26"/>
      <c r="B967" s="27" t="str">
        <f aca="false">IF(A967="","",A967+7-WEEKDAY(A967,1)+1)</f>
        <v/>
      </c>
      <c r="C967" s="28"/>
      <c r="D967" s="29"/>
      <c r="E967" s="28"/>
      <c r="F967" s="28"/>
      <c r="G967" s="30"/>
      <c r="H967" s="31" t="str">
        <f aca="false">IF(E967="","",IFERROR(INDEX(Lists!$C$2:$C$86,MATCH(E967,Lists!$A$2:$A$86,0)),"?"))</f>
        <v/>
      </c>
      <c r="I967" s="32" t="str">
        <f aca="false">IF(OR(C967="",E967=""),"",IF(H967="Yes",IFERROR(INDEX(Employees!$E$4:$E$43,MATCH(C967,Employees!$B$4:$B$43,0)),0),0))</f>
        <v/>
      </c>
      <c r="J967" s="33" t="str">
        <f aca="false">IF(G967="","",IF(H967="Yes",G967*I967,0))</f>
        <v/>
      </c>
      <c r="K967" s="33" t="str">
        <f aca="false">IF(OR(C967="",G967=""),"",G967*IFERROR(INDEX(Employees!$F$4:$F$43,MATCH(C967,Employees!$B$4:$B$43,0)),0))</f>
        <v/>
      </c>
      <c r="L967" s="28"/>
    </row>
    <row r="968" customFormat="false" ht="15" hidden="false" customHeight="false" outlineLevel="0" collapsed="false">
      <c r="A968" s="26"/>
      <c r="B968" s="19" t="str">
        <f aca="false">IF(A968="","",A968+7-WEEKDAY(A968,1)+1)</f>
        <v/>
      </c>
      <c r="C968" s="28"/>
      <c r="D968" s="29"/>
      <c r="E968" s="28"/>
      <c r="F968" s="28"/>
      <c r="G968" s="30"/>
      <c r="H968" s="23" t="str">
        <f aca="false">IF(E968="","",IFERROR(INDEX(Lists!$C$2:$C$86,MATCH(E968,Lists!$A$2:$A$86,0)),"?"))</f>
        <v/>
      </c>
      <c r="I968" s="24" t="str">
        <f aca="false">IF(OR(C968="",E968=""),"",IF(H968="Yes",IFERROR(INDEX(Employees!$E$4:$E$43,MATCH(C968,Employees!$B$4:$B$43,0)),0),0))</f>
        <v/>
      </c>
      <c r="J968" s="25" t="str">
        <f aca="false">IF(G968="","",IF(H968="Yes",G968*I968,0))</f>
        <v/>
      </c>
      <c r="K968" s="25" t="str">
        <f aca="false">IF(OR(C968="",G968=""),"",G968*IFERROR(INDEX(Employees!$F$4:$F$43,MATCH(C968,Employees!$B$4:$B$43,0)),0))</f>
        <v/>
      </c>
      <c r="L968" s="28"/>
    </row>
    <row r="969" customFormat="false" ht="15" hidden="false" customHeight="false" outlineLevel="0" collapsed="false">
      <c r="A969" s="26"/>
      <c r="B969" s="27" t="str">
        <f aca="false">IF(A969="","",A969+7-WEEKDAY(A969,1)+1)</f>
        <v/>
      </c>
      <c r="C969" s="28"/>
      <c r="D969" s="29"/>
      <c r="E969" s="28"/>
      <c r="F969" s="28"/>
      <c r="G969" s="30"/>
      <c r="H969" s="31" t="str">
        <f aca="false">IF(E969="","",IFERROR(INDEX(Lists!$C$2:$C$86,MATCH(E969,Lists!$A$2:$A$86,0)),"?"))</f>
        <v/>
      </c>
      <c r="I969" s="32" t="str">
        <f aca="false">IF(OR(C969="",E969=""),"",IF(H969="Yes",IFERROR(INDEX(Employees!$E$4:$E$43,MATCH(C969,Employees!$B$4:$B$43,0)),0),0))</f>
        <v/>
      </c>
      <c r="J969" s="33" t="str">
        <f aca="false">IF(G969="","",IF(H969="Yes",G969*I969,0))</f>
        <v/>
      </c>
      <c r="K969" s="33" t="str">
        <f aca="false">IF(OR(C969="",G969=""),"",G969*IFERROR(INDEX(Employees!$F$4:$F$43,MATCH(C969,Employees!$B$4:$B$43,0)),0))</f>
        <v/>
      </c>
      <c r="L969" s="28"/>
    </row>
    <row r="970" customFormat="false" ht="15" hidden="false" customHeight="false" outlineLevel="0" collapsed="false">
      <c r="A970" s="26"/>
      <c r="B970" s="19" t="str">
        <f aca="false">IF(A970="","",A970+7-WEEKDAY(A970,1)+1)</f>
        <v/>
      </c>
      <c r="C970" s="28"/>
      <c r="D970" s="29"/>
      <c r="E970" s="28"/>
      <c r="F970" s="28"/>
      <c r="G970" s="30"/>
      <c r="H970" s="23" t="str">
        <f aca="false">IF(E970="","",IFERROR(INDEX(Lists!$C$2:$C$86,MATCH(E970,Lists!$A$2:$A$86,0)),"?"))</f>
        <v/>
      </c>
      <c r="I970" s="24" t="str">
        <f aca="false">IF(OR(C970="",E970=""),"",IF(H970="Yes",IFERROR(INDEX(Employees!$E$4:$E$43,MATCH(C970,Employees!$B$4:$B$43,0)),0),0))</f>
        <v/>
      </c>
      <c r="J970" s="25" t="str">
        <f aca="false">IF(G970="","",IF(H970="Yes",G970*I970,0))</f>
        <v/>
      </c>
      <c r="K970" s="25" t="str">
        <f aca="false">IF(OR(C970="",G970=""),"",G970*IFERROR(INDEX(Employees!$F$4:$F$43,MATCH(C970,Employees!$B$4:$B$43,0)),0))</f>
        <v/>
      </c>
      <c r="L970" s="28"/>
    </row>
    <row r="971" customFormat="false" ht="15" hidden="false" customHeight="false" outlineLevel="0" collapsed="false">
      <c r="A971" s="26"/>
      <c r="B971" s="27" t="str">
        <f aca="false">IF(A971="","",A971+7-WEEKDAY(A971,1)+1)</f>
        <v/>
      </c>
      <c r="C971" s="28"/>
      <c r="D971" s="29"/>
      <c r="E971" s="28"/>
      <c r="F971" s="28"/>
      <c r="G971" s="30"/>
      <c r="H971" s="31" t="str">
        <f aca="false">IF(E971="","",IFERROR(INDEX(Lists!$C$2:$C$86,MATCH(E971,Lists!$A$2:$A$86,0)),"?"))</f>
        <v/>
      </c>
      <c r="I971" s="32" t="str">
        <f aca="false">IF(OR(C971="",E971=""),"",IF(H971="Yes",IFERROR(INDEX(Employees!$E$4:$E$43,MATCH(C971,Employees!$B$4:$B$43,0)),0),0))</f>
        <v/>
      </c>
      <c r="J971" s="33" t="str">
        <f aca="false">IF(G971="","",IF(H971="Yes",G971*I971,0))</f>
        <v/>
      </c>
      <c r="K971" s="33" t="str">
        <f aca="false">IF(OR(C971="",G971=""),"",G971*IFERROR(INDEX(Employees!$F$4:$F$43,MATCH(C971,Employees!$B$4:$B$43,0)),0))</f>
        <v/>
      </c>
      <c r="L971" s="28"/>
    </row>
    <row r="972" customFormat="false" ht="15" hidden="false" customHeight="false" outlineLevel="0" collapsed="false">
      <c r="A972" s="26"/>
      <c r="B972" s="19" t="str">
        <f aca="false">IF(A972="","",A972+7-WEEKDAY(A972,1)+1)</f>
        <v/>
      </c>
      <c r="C972" s="28"/>
      <c r="D972" s="29"/>
      <c r="E972" s="28"/>
      <c r="F972" s="28"/>
      <c r="G972" s="30"/>
      <c r="H972" s="23" t="str">
        <f aca="false">IF(E972="","",IFERROR(INDEX(Lists!$C$2:$C$86,MATCH(E972,Lists!$A$2:$A$86,0)),"?"))</f>
        <v/>
      </c>
      <c r="I972" s="24" t="str">
        <f aca="false">IF(OR(C972="",E972=""),"",IF(H972="Yes",IFERROR(INDEX(Employees!$E$4:$E$43,MATCH(C972,Employees!$B$4:$B$43,0)),0),0))</f>
        <v/>
      </c>
      <c r="J972" s="25" t="str">
        <f aca="false">IF(G972="","",IF(H972="Yes",G972*I972,0))</f>
        <v/>
      </c>
      <c r="K972" s="25" t="str">
        <f aca="false">IF(OR(C972="",G972=""),"",G972*IFERROR(INDEX(Employees!$F$4:$F$43,MATCH(C972,Employees!$B$4:$B$43,0)),0))</f>
        <v/>
      </c>
      <c r="L972" s="28"/>
    </row>
    <row r="973" customFormat="false" ht="15" hidden="false" customHeight="false" outlineLevel="0" collapsed="false">
      <c r="A973" s="26"/>
      <c r="B973" s="27" t="str">
        <f aca="false">IF(A973="","",A973+7-WEEKDAY(A973,1)+1)</f>
        <v/>
      </c>
      <c r="C973" s="28"/>
      <c r="D973" s="29"/>
      <c r="E973" s="28"/>
      <c r="F973" s="28"/>
      <c r="G973" s="30"/>
      <c r="H973" s="31" t="str">
        <f aca="false">IF(E973="","",IFERROR(INDEX(Lists!$C$2:$C$86,MATCH(E973,Lists!$A$2:$A$86,0)),"?"))</f>
        <v/>
      </c>
      <c r="I973" s="32" t="str">
        <f aca="false">IF(OR(C973="",E973=""),"",IF(H973="Yes",IFERROR(INDEX(Employees!$E$4:$E$43,MATCH(C973,Employees!$B$4:$B$43,0)),0),0))</f>
        <v/>
      </c>
      <c r="J973" s="33" t="str">
        <f aca="false">IF(G973="","",IF(H973="Yes",G973*I973,0))</f>
        <v/>
      </c>
      <c r="K973" s="33" t="str">
        <f aca="false">IF(OR(C973="",G973=""),"",G973*IFERROR(INDEX(Employees!$F$4:$F$43,MATCH(C973,Employees!$B$4:$B$43,0)),0))</f>
        <v/>
      </c>
      <c r="L973" s="28"/>
    </row>
    <row r="974" customFormat="false" ht="15" hidden="false" customHeight="false" outlineLevel="0" collapsed="false">
      <c r="A974" s="26"/>
      <c r="B974" s="19" t="str">
        <f aca="false">IF(A974="","",A974+7-WEEKDAY(A974,1)+1)</f>
        <v/>
      </c>
      <c r="C974" s="28"/>
      <c r="D974" s="29"/>
      <c r="E974" s="28"/>
      <c r="F974" s="28"/>
      <c r="G974" s="30"/>
      <c r="H974" s="23" t="str">
        <f aca="false">IF(E974="","",IFERROR(INDEX(Lists!$C$2:$C$86,MATCH(E974,Lists!$A$2:$A$86,0)),"?"))</f>
        <v/>
      </c>
      <c r="I974" s="24" t="str">
        <f aca="false">IF(OR(C974="",E974=""),"",IF(H974="Yes",IFERROR(INDEX(Employees!$E$4:$E$43,MATCH(C974,Employees!$B$4:$B$43,0)),0),0))</f>
        <v/>
      </c>
      <c r="J974" s="25" t="str">
        <f aca="false">IF(G974="","",IF(H974="Yes",G974*I974,0))</f>
        <v/>
      </c>
      <c r="K974" s="25" t="str">
        <f aca="false">IF(OR(C974="",G974=""),"",G974*IFERROR(INDEX(Employees!$F$4:$F$43,MATCH(C974,Employees!$B$4:$B$43,0)),0))</f>
        <v/>
      </c>
      <c r="L974" s="28"/>
    </row>
    <row r="975" customFormat="false" ht="15" hidden="false" customHeight="false" outlineLevel="0" collapsed="false">
      <c r="A975" s="26"/>
      <c r="B975" s="27" t="str">
        <f aca="false">IF(A975="","",A975+7-WEEKDAY(A975,1)+1)</f>
        <v/>
      </c>
      <c r="C975" s="28"/>
      <c r="D975" s="29"/>
      <c r="E975" s="28"/>
      <c r="F975" s="28"/>
      <c r="G975" s="30"/>
      <c r="H975" s="31" t="str">
        <f aca="false">IF(E975="","",IFERROR(INDEX(Lists!$C$2:$C$86,MATCH(E975,Lists!$A$2:$A$86,0)),"?"))</f>
        <v/>
      </c>
      <c r="I975" s="32" t="str">
        <f aca="false">IF(OR(C975="",E975=""),"",IF(H975="Yes",IFERROR(INDEX(Employees!$E$4:$E$43,MATCH(C975,Employees!$B$4:$B$43,0)),0),0))</f>
        <v/>
      </c>
      <c r="J975" s="33" t="str">
        <f aca="false">IF(G975="","",IF(H975="Yes",G975*I975,0))</f>
        <v/>
      </c>
      <c r="K975" s="33" t="str">
        <f aca="false">IF(OR(C975="",G975=""),"",G975*IFERROR(INDEX(Employees!$F$4:$F$43,MATCH(C975,Employees!$B$4:$B$43,0)),0))</f>
        <v/>
      </c>
      <c r="L975" s="28"/>
    </row>
    <row r="976" customFormat="false" ht="15" hidden="false" customHeight="false" outlineLevel="0" collapsed="false">
      <c r="A976" s="26"/>
      <c r="B976" s="19" t="str">
        <f aca="false">IF(A976="","",A976+7-WEEKDAY(A976,1)+1)</f>
        <v/>
      </c>
      <c r="C976" s="28"/>
      <c r="D976" s="29"/>
      <c r="E976" s="28"/>
      <c r="F976" s="28"/>
      <c r="G976" s="30"/>
      <c r="H976" s="23" t="str">
        <f aca="false">IF(E976="","",IFERROR(INDEX(Lists!$C$2:$C$86,MATCH(E976,Lists!$A$2:$A$86,0)),"?"))</f>
        <v/>
      </c>
      <c r="I976" s="24" t="str">
        <f aca="false">IF(OR(C976="",E976=""),"",IF(H976="Yes",IFERROR(INDEX(Employees!$E$4:$E$43,MATCH(C976,Employees!$B$4:$B$43,0)),0),0))</f>
        <v/>
      </c>
      <c r="J976" s="25" t="str">
        <f aca="false">IF(G976="","",IF(H976="Yes",G976*I976,0))</f>
        <v/>
      </c>
      <c r="K976" s="25" t="str">
        <f aca="false">IF(OR(C976="",G976=""),"",G976*IFERROR(INDEX(Employees!$F$4:$F$43,MATCH(C976,Employees!$B$4:$B$43,0)),0))</f>
        <v/>
      </c>
      <c r="L976" s="28"/>
    </row>
    <row r="977" customFormat="false" ht="15" hidden="false" customHeight="false" outlineLevel="0" collapsed="false">
      <c r="A977" s="26"/>
      <c r="B977" s="27" t="str">
        <f aca="false">IF(A977="","",A977+7-WEEKDAY(A977,1)+1)</f>
        <v/>
      </c>
      <c r="C977" s="28"/>
      <c r="D977" s="29"/>
      <c r="E977" s="28"/>
      <c r="F977" s="28"/>
      <c r="G977" s="30"/>
      <c r="H977" s="31" t="str">
        <f aca="false">IF(E977="","",IFERROR(INDEX(Lists!$C$2:$C$86,MATCH(E977,Lists!$A$2:$A$86,0)),"?"))</f>
        <v/>
      </c>
      <c r="I977" s="32" t="str">
        <f aca="false">IF(OR(C977="",E977=""),"",IF(H977="Yes",IFERROR(INDEX(Employees!$E$4:$E$43,MATCH(C977,Employees!$B$4:$B$43,0)),0),0))</f>
        <v/>
      </c>
      <c r="J977" s="33" t="str">
        <f aca="false">IF(G977="","",IF(H977="Yes",G977*I977,0))</f>
        <v/>
      </c>
      <c r="K977" s="33" t="str">
        <f aca="false">IF(OR(C977="",G977=""),"",G977*IFERROR(INDEX(Employees!$F$4:$F$43,MATCH(C977,Employees!$B$4:$B$43,0)),0))</f>
        <v/>
      </c>
      <c r="L977" s="28"/>
    </row>
    <row r="978" customFormat="false" ht="15" hidden="false" customHeight="false" outlineLevel="0" collapsed="false">
      <c r="A978" s="26"/>
      <c r="B978" s="19" t="str">
        <f aca="false">IF(A978="","",A978+7-WEEKDAY(A978,1)+1)</f>
        <v/>
      </c>
      <c r="C978" s="28"/>
      <c r="D978" s="29"/>
      <c r="E978" s="28"/>
      <c r="F978" s="28"/>
      <c r="G978" s="30"/>
      <c r="H978" s="23" t="str">
        <f aca="false">IF(E978="","",IFERROR(INDEX(Lists!$C$2:$C$86,MATCH(E978,Lists!$A$2:$A$86,0)),"?"))</f>
        <v/>
      </c>
      <c r="I978" s="24" t="str">
        <f aca="false">IF(OR(C978="",E978=""),"",IF(H978="Yes",IFERROR(INDEX(Employees!$E$4:$E$43,MATCH(C978,Employees!$B$4:$B$43,0)),0),0))</f>
        <v/>
      </c>
      <c r="J978" s="25" t="str">
        <f aca="false">IF(G978="","",IF(H978="Yes",G978*I978,0))</f>
        <v/>
      </c>
      <c r="K978" s="25" t="str">
        <f aca="false">IF(OR(C978="",G978=""),"",G978*IFERROR(INDEX(Employees!$F$4:$F$43,MATCH(C978,Employees!$B$4:$B$43,0)),0))</f>
        <v/>
      </c>
      <c r="L978" s="28"/>
    </row>
    <row r="979" customFormat="false" ht="15" hidden="false" customHeight="false" outlineLevel="0" collapsed="false">
      <c r="A979" s="26"/>
      <c r="B979" s="27" t="str">
        <f aca="false">IF(A979="","",A979+7-WEEKDAY(A979,1)+1)</f>
        <v/>
      </c>
      <c r="C979" s="28"/>
      <c r="D979" s="29"/>
      <c r="E979" s="28"/>
      <c r="F979" s="28"/>
      <c r="G979" s="30"/>
      <c r="H979" s="31" t="str">
        <f aca="false">IF(E979="","",IFERROR(INDEX(Lists!$C$2:$C$86,MATCH(E979,Lists!$A$2:$A$86,0)),"?"))</f>
        <v/>
      </c>
      <c r="I979" s="32" t="str">
        <f aca="false">IF(OR(C979="",E979=""),"",IF(H979="Yes",IFERROR(INDEX(Employees!$E$4:$E$43,MATCH(C979,Employees!$B$4:$B$43,0)),0),0))</f>
        <v/>
      </c>
      <c r="J979" s="33" t="str">
        <f aca="false">IF(G979="","",IF(H979="Yes",G979*I979,0))</f>
        <v/>
      </c>
      <c r="K979" s="33" t="str">
        <f aca="false">IF(OR(C979="",G979=""),"",G979*IFERROR(INDEX(Employees!$F$4:$F$43,MATCH(C979,Employees!$B$4:$B$43,0)),0))</f>
        <v/>
      </c>
      <c r="L979" s="28"/>
    </row>
    <row r="980" customFormat="false" ht="15" hidden="false" customHeight="false" outlineLevel="0" collapsed="false">
      <c r="A980" s="26"/>
      <c r="B980" s="19" t="str">
        <f aca="false">IF(A980="","",A980+7-WEEKDAY(A980,1)+1)</f>
        <v/>
      </c>
      <c r="C980" s="28"/>
      <c r="D980" s="29"/>
      <c r="E980" s="28"/>
      <c r="F980" s="28"/>
      <c r="G980" s="30"/>
      <c r="H980" s="23" t="str">
        <f aca="false">IF(E980="","",IFERROR(INDEX(Lists!$C$2:$C$86,MATCH(E980,Lists!$A$2:$A$86,0)),"?"))</f>
        <v/>
      </c>
      <c r="I980" s="24" t="str">
        <f aca="false">IF(OR(C980="",E980=""),"",IF(H980="Yes",IFERROR(INDEX(Employees!$E$4:$E$43,MATCH(C980,Employees!$B$4:$B$43,0)),0),0))</f>
        <v/>
      </c>
      <c r="J980" s="25" t="str">
        <f aca="false">IF(G980="","",IF(H980="Yes",G980*I980,0))</f>
        <v/>
      </c>
      <c r="K980" s="25" t="str">
        <f aca="false">IF(OR(C980="",G980=""),"",G980*IFERROR(INDEX(Employees!$F$4:$F$43,MATCH(C980,Employees!$B$4:$B$43,0)),0))</f>
        <v/>
      </c>
      <c r="L980" s="28"/>
    </row>
    <row r="981" customFormat="false" ht="15" hidden="false" customHeight="false" outlineLevel="0" collapsed="false">
      <c r="A981" s="26"/>
      <c r="B981" s="27" t="str">
        <f aca="false">IF(A981="","",A981+7-WEEKDAY(A981,1)+1)</f>
        <v/>
      </c>
      <c r="C981" s="28"/>
      <c r="D981" s="29"/>
      <c r="E981" s="28"/>
      <c r="F981" s="28"/>
      <c r="G981" s="30"/>
      <c r="H981" s="31" t="str">
        <f aca="false">IF(E981="","",IFERROR(INDEX(Lists!$C$2:$C$86,MATCH(E981,Lists!$A$2:$A$86,0)),"?"))</f>
        <v/>
      </c>
      <c r="I981" s="32" t="str">
        <f aca="false">IF(OR(C981="",E981=""),"",IF(H981="Yes",IFERROR(INDEX(Employees!$E$4:$E$43,MATCH(C981,Employees!$B$4:$B$43,0)),0),0))</f>
        <v/>
      </c>
      <c r="J981" s="33" t="str">
        <f aca="false">IF(G981="","",IF(H981="Yes",G981*I981,0))</f>
        <v/>
      </c>
      <c r="K981" s="33" t="str">
        <f aca="false">IF(OR(C981="",G981=""),"",G981*IFERROR(INDEX(Employees!$F$4:$F$43,MATCH(C981,Employees!$B$4:$B$43,0)),0))</f>
        <v/>
      </c>
      <c r="L981" s="28"/>
    </row>
    <row r="982" customFormat="false" ht="15" hidden="false" customHeight="false" outlineLevel="0" collapsed="false">
      <c r="A982" s="26"/>
      <c r="B982" s="19" t="str">
        <f aca="false">IF(A982="","",A982+7-WEEKDAY(A982,1)+1)</f>
        <v/>
      </c>
      <c r="C982" s="28"/>
      <c r="D982" s="29"/>
      <c r="E982" s="28"/>
      <c r="F982" s="28"/>
      <c r="G982" s="30"/>
      <c r="H982" s="23" t="str">
        <f aca="false">IF(E982="","",IFERROR(INDEX(Lists!$C$2:$C$86,MATCH(E982,Lists!$A$2:$A$86,0)),"?"))</f>
        <v/>
      </c>
      <c r="I982" s="24" t="str">
        <f aca="false">IF(OR(C982="",E982=""),"",IF(H982="Yes",IFERROR(INDEX(Employees!$E$4:$E$43,MATCH(C982,Employees!$B$4:$B$43,0)),0),0))</f>
        <v/>
      </c>
      <c r="J982" s="25" t="str">
        <f aca="false">IF(G982="","",IF(H982="Yes",G982*I982,0))</f>
        <v/>
      </c>
      <c r="K982" s="25" t="str">
        <f aca="false">IF(OR(C982="",G982=""),"",G982*IFERROR(INDEX(Employees!$F$4:$F$43,MATCH(C982,Employees!$B$4:$B$43,0)),0))</f>
        <v/>
      </c>
      <c r="L982" s="28"/>
    </row>
    <row r="983" customFormat="false" ht="15" hidden="false" customHeight="false" outlineLevel="0" collapsed="false">
      <c r="A983" s="26"/>
      <c r="B983" s="27" t="str">
        <f aca="false">IF(A983="","",A983+7-WEEKDAY(A983,1)+1)</f>
        <v/>
      </c>
      <c r="C983" s="28"/>
      <c r="D983" s="29"/>
      <c r="E983" s="28"/>
      <c r="F983" s="28"/>
      <c r="G983" s="30"/>
      <c r="H983" s="31" t="str">
        <f aca="false">IF(E983="","",IFERROR(INDEX(Lists!$C$2:$C$86,MATCH(E983,Lists!$A$2:$A$86,0)),"?"))</f>
        <v/>
      </c>
      <c r="I983" s="32" t="str">
        <f aca="false">IF(OR(C983="",E983=""),"",IF(H983="Yes",IFERROR(INDEX(Employees!$E$4:$E$43,MATCH(C983,Employees!$B$4:$B$43,0)),0),0))</f>
        <v/>
      </c>
      <c r="J983" s="33" t="str">
        <f aca="false">IF(G983="","",IF(H983="Yes",G983*I983,0))</f>
        <v/>
      </c>
      <c r="K983" s="33" t="str">
        <f aca="false">IF(OR(C983="",G983=""),"",G983*IFERROR(INDEX(Employees!$F$4:$F$43,MATCH(C983,Employees!$B$4:$B$43,0)),0))</f>
        <v/>
      </c>
      <c r="L983" s="28"/>
    </row>
    <row r="984" customFormat="false" ht="15" hidden="false" customHeight="false" outlineLevel="0" collapsed="false">
      <c r="A984" s="26"/>
      <c r="B984" s="19" t="str">
        <f aca="false">IF(A984="","",A984+7-WEEKDAY(A984,1)+1)</f>
        <v/>
      </c>
      <c r="C984" s="28"/>
      <c r="D984" s="29"/>
      <c r="E984" s="28"/>
      <c r="F984" s="28"/>
      <c r="G984" s="30"/>
      <c r="H984" s="23" t="str">
        <f aca="false">IF(E984="","",IFERROR(INDEX(Lists!$C$2:$C$86,MATCH(E984,Lists!$A$2:$A$86,0)),"?"))</f>
        <v/>
      </c>
      <c r="I984" s="24" t="str">
        <f aca="false">IF(OR(C984="",E984=""),"",IF(H984="Yes",IFERROR(INDEX(Employees!$E$4:$E$43,MATCH(C984,Employees!$B$4:$B$43,0)),0),0))</f>
        <v/>
      </c>
      <c r="J984" s="25" t="str">
        <f aca="false">IF(G984="","",IF(H984="Yes",G984*I984,0))</f>
        <v/>
      </c>
      <c r="K984" s="25" t="str">
        <f aca="false">IF(OR(C984="",G984=""),"",G984*IFERROR(INDEX(Employees!$F$4:$F$43,MATCH(C984,Employees!$B$4:$B$43,0)),0))</f>
        <v/>
      </c>
      <c r="L984" s="28"/>
    </row>
    <row r="985" customFormat="false" ht="15" hidden="false" customHeight="false" outlineLevel="0" collapsed="false">
      <c r="A985" s="26"/>
      <c r="B985" s="27" t="str">
        <f aca="false">IF(A985="","",A985+7-WEEKDAY(A985,1)+1)</f>
        <v/>
      </c>
      <c r="C985" s="28"/>
      <c r="D985" s="29"/>
      <c r="E985" s="28"/>
      <c r="F985" s="28"/>
      <c r="G985" s="30"/>
      <c r="H985" s="31" t="str">
        <f aca="false">IF(E985="","",IFERROR(INDEX(Lists!$C$2:$C$86,MATCH(E985,Lists!$A$2:$A$86,0)),"?"))</f>
        <v/>
      </c>
      <c r="I985" s="32" t="str">
        <f aca="false">IF(OR(C985="",E985=""),"",IF(H985="Yes",IFERROR(INDEX(Employees!$E$4:$E$43,MATCH(C985,Employees!$B$4:$B$43,0)),0),0))</f>
        <v/>
      </c>
      <c r="J985" s="33" t="str">
        <f aca="false">IF(G985="","",IF(H985="Yes",G985*I985,0))</f>
        <v/>
      </c>
      <c r="K985" s="33" t="str">
        <f aca="false">IF(OR(C985="",G985=""),"",G985*IFERROR(INDEX(Employees!$F$4:$F$43,MATCH(C985,Employees!$B$4:$B$43,0)),0))</f>
        <v/>
      </c>
      <c r="L985" s="28"/>
    </row>
    <row r="986" customFormat="false" ht="15" hidden="false" customHeight="false" outlineLevel="0" collapsed="false">
      <c r="A986" s="26"/>
      <c r="B986" s="19" t="str">
        <f aca="false">IF(A986="","",A986+7-WEEKDAY(A986,1)+1)</f>
        <v/>
      </c>
      <c r="C986" s="28"/>
      <c r="D986" s="29"/>
      <c r="E986" s="28"/>
      <c r="F986" s="28"/>
      <c r="G986" s="30"/>
      <c r="H986" s="23" t="str">
        <f aca="false">IF(E986="","",IFERROR(INDEX(Lists!$C$2:$C$86,MATCH(E986,Lists!$A$2:$A$86,0)),"?"))</f>
        <v/>
      </c>
      <c r="I986" s="24" t="str">
        <f aca="false">IF(OR(C986="",E986=""),"",IF(H986="Yes",IFERROR(INDEX(Employees!$E$4:$E$43,MATCH(C986,Employees!$B$4:$B$43,0)),0),0))</f>
        <v/>
      </c>
      <c r="J986" s="25" t="str">
        <f aca="false">IF(G986="","",IF(H986="Yes",G986*I986,0))</f>
        <v/>
      </c>
      <c r="K986" s="25" t="str">
        <f aca="false">IF(OR(C986="",G986=""),"",G986*IFERROR(INDEX(Employees!$F$4:$F$43,MATCH(C986,Employees!$B$4:$B$43,0)),0))</f>
        <v/>
      </c>
      <c r="L986" s="28"/>
    </row>
    <row r="987" customFormat="false" ht="15" hidden="false" customHeight="false" outlineLevel="0" collapsed="false">
      <c r="A987" s="26"/>
      <c r="B987" s="27" t="str">
        <f aca="false">IF(A987="","",A987+7-WEEKDAY(A987,1)+1)</f>
        <v/>
      </c>
      <c r="C987" s="28"/>
      <c r="D987" s="29"/>
      <c r="E987" s="28"/>
      <c r="F987" s="28"/>
      <c r="G987" s="30"/>
      <c r="H987" s="31" t="str">
        <f aca="false">IF(E987="","",IFERROR(INDEX(Lists!$C$2:$C$86,MATCH(E987,Lists!$A$2:$A$86,0)),"?"))</f>
        <v/>
      </c>
      <c r="I987" s="32" t="str">
        <f aca="false">IF(OR(C987="",E987=""),"",IF(H987="Yes",IFERROR(INDEX(Employees!$E$4:$E$43,MATCH(C987,Employees!$B$4:$B$43,0)),0),0))</f>
        <v/>
      </c>
      <c r="J987" s="33" t="str">
        <f aca="false">IF(G987="","",IF(H987="Yes",G987*I987,0))</f>
        <v/>
      </c>
      <c r="K987" s="33" t="str">
        <f aca="false">IF(OR(C987="",G987=""),"",G987*IFERROR(INDEX(Employees!$F$4:$F$43,MATCH(C987,Employees!$B$4:$B$43,0)),0))</f>
        <v/>
      </c>
      <c r="L987" s="28"/>
    </row>
    <row r="988" customFormat="false" ht="15" hidden="false" customHeight="false" outlineLevel="0" collapsed="false">
      <c r="A988" s="26"/>
      <c r="B988" s="19" t="str">
        <f aca="false">IF(A988="","",A988+7-WEEKDAY(A988,1)+1)</f>
        <v/>
      </c>
      <c r="C988" s="28"/>
      <c r="D988" s="29"/>
      <c r="E988" s="28"/>
      <c r="F988" s="28"/>
      <c r="G988" s="30"/>
      <c r="H988" s="23" t="str">
        <f aca="false">IF(E988="","",IFERROR(INDEX(Lists!$C$2:$C$86,MATCH(E988,Lists!$A$2:$A$86,0)),"?"))</f>
        <v/>
      </c>
      <c r="I988" s="24" t="str">
        <f aca="false">IF(OR(C988="",E988=""),"",IF(H988="Yes",IFERROR(INDEX(Employees!$E$4:$E$43,MATCH(C988,Employees!$B$4:$B$43,0)),0),0))</f>
        <v/>
      </c>
      <c r="J988" s="25" t="str">
        <f aca="false">IF(G988="","",IF(H988="Yes",G988*I988,0))</f>
        <v/>
      </c>
      <c r="K988" s="25" t="str">
        <f aca="false">IF(OR(C988="",G988=""),"",G988*IFERROR(INDEX(Employees!$F$4:$F$43,MATCH(C988,Employees!$B$4:$B$43,0)),0))</f>
        <v/>
      </c>
      <c r="L988" s="28"/>
    </row>
    <row r="989" customFormat="false" ht="15" hidden="false" customHeight="false" outlineLevel="0" collapsed="false">
      <c r="A989" s="26"/>
      <c r="B989" s="27" t="str">
        <f aca="false">IF(A989="","",A989+7-WEEKDAY(A989,1)+1)</f>
        <v/>
      </c>
      <c r="C989" s="28"/>
      <c r="D989" s="29"/>
      <c r="E989" s="28"/>
      <c r="F989" s="28"/>
      <c r="G989" s="30"/>
      <c r="H989" s="31" t="str">
        <f aca="false">IF(E989="","",IFERROR(INDEX(Lists!$C$2:$C$86,MATCH(E989,Lists!$A$2:$A$86,0)),"?"))</f>
        <v/>
      </c>
      <c r="I989" s="32" t="str">
        <f aca="false">IF(OR(C989="",E989=""),"",IF(H989="Yes",IFERROR(INDEX(Employees!$E$4:$E$43,MATCH(C989,Employees!$B$4:$B$43,0)),0),0))</f>
        <v/>
      </c>
      <c r="J989" s="33" t="str">
        <f aca="false">IF(G989="","",IF(H989="Yes",G989*I989,0))</f>
        <v/>
      </c>
      <c r="K989" s="33" t="str">
        <f aca="false">IF(OR(C989="",G989=""),"",G989*IFERROR(INDEX(Employees!$F$4:$F$43,MATCH(C989,Employees!$B$4:$B$43,0)),0))</f>
        <v/>
      </c>
      <c r="L989" s="28"/>
    </row>
    <row r="990" customFormat="false" ht="15" hidden="false" customHeight="false" outlineLevel="0" collapsed="false">
      <c r="A990" s="26"/>
      <c r="B990" s="19" t="str">
        <f aca="false">IF(A990="","",A990+7-WEEKDAY(A990,1)+1)</f>
        <v/>
      </c>
      <c r="C990" s="28"/>
      <c r="D990" s="29"/>
      <c r="E990" s="28"/>
      <c r="F990" s="28"/>
      <c r="G990" s="30"/>
      <c r="H990" s="23" t="str">
        <f aca="false">IF(E990="","",IFERROR(INDEX(Lists!$C$2:$C$86,MATCH(E990,Lists!$A$2:$A$86,0)),"?"))</f>
        <v/>
      </c>
      <c r="I990" s="24" t="str">
        <f aca="false">IF(OR(C990="",E990=""),"",IF(H990="Yes",IFERROR(INDEX(Employees!$E$4:$E$43,MATCH(C990,Employees!$B$4:$B$43,0)),0),0))</f>
        <v/>
      </c>
      <c r="J990" s="25" t="str">
        <f aca="false">IF(G990="","",IF(H990="Yes",G990*I990,0))</f>
        <v/>
      </c>
      <c r="K990" s="25" t="str">
        <f aca="false">IF(OR(C990="",G990=""),"",G990*IFERROR(INDEX(Employees!$F$4:$F$43,MATCH(C990,Employees!$B$4:$B$43,0)),0))</f>
        <v/>
      </c>
      <c r="L990" s="28"/>
    </row>
    <row r="991" customFormat="false" ht="15" hidden="false" customHeight="false" outlineLevel="0" collapsed="false">
      <c r="A991" s="26"/>
      <c r="B991" s="27" t="str">
        <f aca="false">IF(A991="","",A991+7-WEEKDAY(A991,1)+1)</f>
        <v/>
      </c>
      <c r="C991" s="28"/>
      <c r="D991" s="29"/>
      <c r="E991" s="28"/>
      <c r="F991" s="28"/>
      <c r="G991" s="30"/>
      <c r="H991" s="31" t="str">
        <f aca="false">IF(E991="","",IFERROR(INDEX(Lists!$C$2:$C$86,MATCH(E991,Lists!$A$2:$A$86,0)),"?"))</f>
        <v/>
      </c>
      <c r="I991" s="32" t="str">
        <f aca="false">IF(OR(C991="",E991=""),"",IF(H991="Yes",IFERROR(INDEX(Employees!$E$4:$E$43,MATCH(C991,Employees!$B$4:$B$43,0)),0),0))</f>
        <v/>
      </c>
      <c r="J991" s="33" t="str">
        <f aca="false">IF(G991="","",IF(H991="Yes",G991*I991,0))</f>
        <v/>
      </c>
      <c r="K991" s="33" t="str">
        <f aca="false">IF(OR(C991="",G991=""),"",G991*IFERROR(INDEX(Employees!$F$4:$F$43,MATCH(C991,Employees!$B$4:$B$43,0)),0))</f>
        <v/>
      </c>
      <c r="L991" s="28"/>
    </row>
    <row r="992" customFormat="false" ht="15" hidden="false" customHeight="false" outlineLevel="0" collapsed="false">
      <c r="A992" s="26"/>
      <c r="B992" s="19" t="str">
        <f aca="false">IF(A992="","",A992+7-WEEKDAY(A992,1)+1)</f>
        <v/>
      </c>
      <c r="C992" s="28"/>
      <c r="D992" s="29"/>
      <c r="E992" s="28"/>
      <c r="F992" s="28"/>
      <c r="G992" s="30"/>
      <c r="H992" s="23" t="str">
        <f aca="false">IF(E992="","",IFERROR(INDEX(Lists!$C$2:$C$86,MATCH(E992,Lists!$A$2:$A$86,0)),"?"))</f>
        <v/>
      </c>
      <c r="I992" s="24" t="str">
        <f aca="false">IF(OR(C992="",E992=""),"",IF(H992="Yes",IFERROR(INDEX(Employees!$E$4:$E$43,MATCH(C992,Employees!$B$4:$B$43,0)),0),0))</f>
        <v/>
      </c>
      <c r="J992" s="25" t="str">
        <f aca="false">IF(G992="","",IF(H992="Yes",G992*I992,0))</f>
        <v/>
      </c>
      <c r="K992" s="25" t="str">
        <f aca="false">IF(OR(C992="",G992=""),"",G992*IFERROR(INDEX(Employees!$F$4:$F$43,MATCH(C992,Employees!$B$4:$B$43,0)),0))</f>
        <v/>
      </c>
      <c r="L992" s="28"/>
    </row>
    <row r="993" customFormat="false" ht="15" hidden="false" customHeight="false" outlineLevel="0" collapsed="false">
      <c r="A993" s="26"/>
      <c r="B993" s="27" t="str">
        <f aca="false">IF(A993="","",A993+7-WEEKDAY(A993,1)+1)</f>
        <v/>
      </c>
      <c r="C993" s="28"/>
      <c r="D993" s="29"/>
      <c r="E993" s="28"/>
      <c r="F993" s="28"/>
      <c r="G993" s="30"/>
      <c r="H993" s="31" t="str">
        <f aca="false">IF(E993="","",IFERROR(INDEX(Lists!$C$2:$C$86,MATCH(E993,Lists!$A$2:$A$86,0)),"?"))</f>
        <v/>
      </c>
      <c r="I993" s="32" t="str">
        <f aca="false">IF(OR(C993="",E993=""),"",IF(H993="Yes",IFERROR(INDEX(Employees!$E$4:$E$43,MATCH(C993,Employees!$B$4:$B$43,0)),0),0))</f>
        <v/>
      </c>
      <c r="J993" s="33" t="str">
        <f aca="false">IF(G993="","",IF(H993="Yes",G993*I993,0))</f>
        <v/>
      </c>
      <c r="K993" s="33" t="str">
        <f aca="false">IF(OR(C993="",G993=""),"",G993*IFERROR(INDEX(Employees!$F$4:$F$43,MATCH(C993,Employees!$B$4:$B$43,0)),0))</f>
        <v/>
      </c>
      <c r="L993" s="28"/>
    </row>
    <row r="994" customFormat="false" ht="15" hidden="false" customHeight="false" outlineLevel="0" collapsed="false">
      <c r="A994" s="26"/>
      <c r="B994" s="19" t="str">
        <f aca="false">IF(A994="","",A994+7-WEEKDAY(A994,1)+1)</f>
        <v/>
      </c>
      <c r="C994" s="28"/>
      <c r="D994" s="29"/>
      <c r="E994" s="28"/>
      <c r="F994" s="28"/>
      <c r="G994" s="30"/>
      <c r="H994" s="23" t="str">
        <f aca="false">IF(E994="","",IFERROR(INDEX(Lists!$C$2:$C$86,MATCH(E994,Lists!$A$2:$A$86,0)),"?"))</f>
        <v/>
      </c>
      <c r="I994" s="24" t="str">
        <f aca="false">IF(OR(C994="",E994=""),"",IF(H994="Yes",IFERROR(INDEX(Employees!$E$4:$E$43,MATCH(C994,Employees!$B$4:$B$43,0)),0),0))</f>
        <v/>
      </c>
      <c r="J994" s="25" t="str">
        <f aca="false">IF(G994="","",IF(H994="Yes",G994*I994,0))</f>
        <v/>
      </c>
      <c r="K994" s="25" t="str">
        <f aca="false">IF(OR(C994="",G994=""),"",G994*IFERROR(INDEX(Employees!$F$4:$F$43,MATCH(C994,Employees!$B$4:$B$43,0)),0))</f>
        <v/>
      </c>
      <c r="L994" s="28"/>
    </row>
    <row r="995" customFormat="false" ht="15" hidden="false" customHeight="false" outlineLevel="0" collapsed="false">
      <c r="A995" s="26"/>
      <c r="B995" s="27" t="str">
        <f aca="false">IF(A995="","",A995+7-WEEKDAY(A995,1)+1)</f>
        <v/>
      </c>
      <c r="C995" s="28"/>
      <c r="D995" s="29"/>
      <c r="E995" s="28"/>
      <c r="F995" s="28"/>
      <c r="G995" s="30"/>
      <c r="H995" s="31" t="str">
        <f aca="false">IF(E995="","",IFERROR(INDEX(Lists!$C$2:$C$86,MATCH(E995,Lists!$A$2:$A$86,0)),"?"))</f>
        <v/>
      </c>
      <c r="I995" s="32" t="str">
        <f aca="false">IF(OR(C995="",E995=""),"",IF(H995="Yes",IFERROR(INDEX(Employees!$E$4:$E$43,MATCH(C995,Employees!$B$4:$B$43,0)),0),0))</f>
        <v/>
      </c>
      <c r="J995" s="33" t="str">
        <f aca="false">IF(G995="","",IF(H995="Yes",G995*I995,0))</f>
        <v/>
      </c>
      <c r="K995" s="33" t="str">
        <f aca="false">IF(OR(C995="",G995=""),"",G995*IFERROR(INDEX(Employees!$F$4:$F$43,MATCH(C995,Employees!$B$4:$B$43,0)),0))</f>
        <v/>
      </c>
      <c r="L995" s="28"/>
    </row>
    <row r="996" customFormat="false" ht="15" hidden="false" customHeight="false" outlineLevel="0" collapsed="false">
      <c r="A996" s="26"/>
      <c r="B996" s="19" t="str">
        <f aca="false">IF(A996="","",A996+7-WEEKDAY(A996,1)+1)</f>
        <v/>
      </c>
      <c r="C996" s="28"/>
      <c r="D996" s="29"/>
      <c r="E996" s="28"/>
      <c r="F996" s="28"/>
      <c r="G996" s="30"/>
      <c r="H996" s="23" t="str">
        <f aca="false">IF(E996="","",IFERROR(INDEX(Lists!$C$2:$C$86,MATCH(E996,Lists!$A$2:$A$86,0)),"?"))</f>
        <v/>
      </c>
      <c r="I996" s="24" t="str">
        <f aca="false">IF(OR(C996="",E996=""),"",IF(H996="Yes",IFERROR(INDEX(Employees!$E$4:$E$43,MATCH(C996,Employees!$B$4:$B$43,0)),0),0))</f>
        <v/>
      </c>
      <c r="J996" s="25" t="str">
        <f aca="false">IF(G996="","",IF(H996="Yes",G996*I996,0))</f>
        <v/>
      </c>
      <c r="K996" s="25" t="str">
        <f aca="false">IF(OR(C996="",G996=""),"",G996*IFERROR(INDEX(Employees!$F$4:$F$43,MATCH(C996,Employees!$B$4:$B$43,0)),0))</f>
        <v/>
      </c>
      <c r="L996" s="28"/>
    </row>
    <row r="997" customFormat="false" ht="15" hidden="false" customHeight="false" outlineLevel="0" collapsed="false">
      <c r="A997" s="26"/>
      <c r="B997" s="27" t="str">
        <f aca="false">IF(A997="","",A997+7-WEEKDAY(A997,1)+1)</f>
        <v/>
      </c>
      <c r="C997" s="28"/>
      <c r="D997" s="29"/>
      <c r="E997" s="28"/>
      <c r="F997" s="28"/>
      <c r="G997" s="30"/>
      <c r="H997" s="31" t="str">
        <f aca="false">IF(E997="","",IFERROR(INDEX(Lists!$C$2:$C$86,MATCH(E997,Lists!$A$2:$A$86,0)),"?"))</f>
        <v/>
      </c>
      <c r="I997" s="32" t="str">
        <f aca="false">IF(OR(C997="",E997=""),"",IF(H997="Yes",IFERROR(INDEX(Employees!$E$4:$E$43,MATCH(C997,Employees!$B$4:$B$43,0)),0),0))</f>
        <v/>
      </c>
      <c r="J997" s="33" t="str">
        <f aca="false">IF(G997="","",IF(H997="Yes",G997*I997,0))</f>
        <v/>
      </c>
      <c r="K997" s="33" t="str">
        <f aca="false">IF(OR(C997="",G997=""),"",G997*IFERROR(INDEX(Employees!$F$4:$F$43,MATCH(C997,Employees!$B$4:$B$43,0)),0))</f>
        <v/>
      </c>
      <c r="L997" s="28"/>
    </row>
    <row r="998" customFormat="false" ht="15" hidden="false" customHeight="false" outlineLevel="0" collapsed="false">
      <c r="A998" s="26"/>
      <c r="B998" s="19" t="str">
        <f aca="false">IF(A998="","",A998+7-WEEKDAY(A998,1)+1)</f>
        <v/>
      </c>
      <c r="C998" s="28"/>
      <c r="D998" s="29"/>
      <c r="E998" s="28"/>
      <c r="F998" s="28"/>
      <c r="G998" s="30"/>
      <c r="H998" s="23" t="str">
        <f aca="false">IF(E998="","",IFERROR(INDEX(Lists!$C$2:$C$86,MATCH(E998,Lists!$A$2:$A$86,0)),"?"))</f>
        <v/>
      </c>
      <c r="I998" s="24" t="str">
        <f aca="false">IF(OR(C998="",E998=""),"",IF(H998="Yes",IFERROR(INDEX(Employees!$E$4:$E$43,MATCH(C998,Employees!$B$4:$B$43,0)),0),0))</f>
        <v/>
      </c>
      <c r="J998" s="25" t="str">
        <f aca="false">IF(G998="","",IF(H998="Yes",G998*I998,0))</f>
        <v/>
      </c>
      <c r="K998" s="25" t="str">
        <f aca="false">IF(OR(C998="",G998=""),"",G998*IFERROR(INDEX(Employees!$F$4:$F$43,MATCH(C998,Employees!$B$4:$B$43,0)),0))</f>
        <v/>
      </c>
      <c r="L998" s="28"/>
    </row>
    <row r="999" customFormat="false" ht="15" hidden="false" customHeight="false" outlineLevel="0" collapsed="false">
      <c r="A999" s="26"/>
      <c r="B999" s="27" t="str">
        <f aca="false">IF(A999="","",A999+7-WEEKDAY(A999,1)+1)</f>
        <v/>
      </c>
      <c r="C999" s="28"/>
      <c r="D999" s="29"/>
      <c r="E999" s="28"/>
      <c r="F999" s="28"/>
      <c r="G999" s="30"/>
      <c r="H999" s="31" t="str">
        <f aca="false">IF(E999="","",IFERROR(INDEX(Lists!$C$2:$C$86,MATCH(E999,Lists!$A$2:$A$86,0)),"?"))</f>
        <v/>
      </c>
      <c r="I999" s="32" t="str">
        <f aca="false">IF(OR(C999="",E999=""),"",IF(H999="Yes",IFERROR(INDEX(Employees!$E$4:$E$43,MATCH(C999,Employees!$B$4:$B$43,0)),0),0))</f>
        <v/>
      </c>
      <c r="J999" s="33" t="str">
        <f aca="false">IF(G999="","",IF(H999="Yes",G999*I999,0))</f>
        <v/>
      </c>
      <c r="K999" s="33" t="str">
        <f aca="false">IF(OR(C999="",G999=""),"",G999*IFERROR(INDEX(Employees!$F$4:$F$43,MATCH(C999,Employees!$B$4:$B$43,0)),0))</f>
        <v/>
      </c>
      <c r="L999" s="28"/>
    </row>
    <row r="1000" customFormat="false" ht="15" hidden="false" customHeight="false" outlineLevel="0" collapsed="false">
      <c r="A1000" s="26"/>
      <c r="B1000" s="19" t="str">
        <f aca="false">IF(A1000="","",A1000+7-WEEKDAY(A1000,1)+1)</f>
        <v/>
      </c>
      <c r="C1000" s="28"/>
      <c r="D1000" s="29"/>
      <c r="E1000" s="28"/>
      <c r="F1000" s="28"/>
      <c r="G1000" s="30"/>
      <c r="H1000" s="23" t="str">
        <f aca="false">IF(E1000="","",IFERROR(INDEX(Lists!$C$2:$C$86,MATCH(E1000,Lists!$A$2:$A$86,0)),"?"))</f>
        <v/>
      </c>
      <c r="I1000" s="24" t="str">
        <f aca="false">IF(OR(C1000="",E1000=""),"",IF(H1000="Yes",IFERROR(INDEX(Employees!$E$4:$E$43,MATCH(C1000,Employees!$B$4:$B$43,0)),0),0))</f>
        <v/>
      </c>
      <c r="J1000" s="25" t="str">
        <f aca="false">IF(G1000="","",IF(H1000="Yes",G1000*I1000,0))</f>
        <v/>
      </c>
      <c r="K1000" s="25" t="str">
        <f aca="false">IF(OR(C1000="",G1000=""),"",G1000*IFERROR(INDEX(Employees!$F$4:$F$43,MATCH(C1000,Employees!$B$4:$B$43,0)),0))</f>
        <v/>
      </c>
      <c r="L1000" s="28"/>
    </row>
    <row r="1001" customFormat="false" ht="15" hidden="false" customHeight="false" outlineLevel="0" collapsed="false">
      <c r="A1001" s="26"/>
      <c r="B1001" s="27" t="str">
        <f aca="false">IF(A1001="","",A1001+7-WEEKDAY(A1001,1)+1)</f>
        <v/>
      </c>
      <c r="C1001" s="28"/>
      <c r="D1001" s="29"/>
      <c r="E1001" s="28"/>
      <c r="F1001" s="28"/>
      <c r="G1001" s="30"/>
      <c r="H1001" s="31" t="str">
        <f aca="false">IF(E1001="","",IFERROR(INDEX(Lists!$C$2:$C$86,MATCH(E1001,Lists!$A$2:$A$86,0)),"?"))</f>
        <v/>
      </c>
      <c r="I1001" s="32" t="str">
        <f aca="false">IF(OR(C1001="",E1001=""),"",IF(H1001="Yes",IFERROR(INDEX(Employees!$E$4:$E$43,MATCH(C1001,Employees!$B$4:$B$43,0)),0),0))</f>
        <v/>
      </c>
      <c r="J1001" s="33" t="str">
        <f aca="false">IF(G1001="","",IF(H1001="Yes",G1001*I1001,0))</f>
        <v/>
      </c>
      <c r="K1001" s="33" t="str">
        <f aca="false">IF(OR(C1001="",G1001=""),"",G1001*IFERROR(INDEX(Employees!$F$4:$F$43,MATCH(C1001,Employees!$B$4:$B$43,0)),0))</f>
        <v/>
      </c>
      <c r="L1001" s="28"/>
    </row>
    <row r="1002" customFormat="false" ht="15" hidden="false" customHeight="false" outlineLevel="0" collapsed="false">
      <c r="A1002" s="26"/>
      <c r="B1002" s="19" t="str">
        <f aca="false">IF(A1002="","",A1002+7-WEEKDAY(A1002,1)+1)</f>
        <v/>
      </c>
      <c r="C1002" s="28"/>
      <c r="D1002" s="29"/>
      <c r="E1002" s="28"/>
      <c r="F1002" s="28"/>
      <c r="G1002" s="30"/>
      <c r="H1002" s="23" t="str">
        <f aca="false">IF(E1002="","",IFERROR(INDEX(Lists!$C$2:$C$86,MATCH(E1002,Lists!$A$2:$A$86,0)),"?"))</f>
        <v/>
      </c>
      <c r="I1002" s="24" t="str">
        <f aca="false">IF(OR(C1002="",E1002=""),"",IF(H1002="Yes",IFERROR(INDEX(Employees!$E$4:$E$43,MATCH(C1002,Employees!$B$4:$B$43,0)),0),0))</f>
        <v/>
      </c>
      <c r="J1002" s="25" t="str">
        <f aca="false">IF(G1002="","",IF(H1002="Yes",G1002*I1002,0))</f>
        <v/>
      </c>
      <c r="K1002" s="25" t="str">
        <f aca="false">IF(OR(C1002="",G1002=""),"",G1002*IFERROR(INDEX(Employees!$F$4:$F$43,MATCH(C1002,Employees!$B$4:$B$43,0)),0))</f>
        <v/>
      </c>
      <c r="L1002" s="28"/>
    </row>
    <row r="1003" customFormat="false" ht="15" hidden="false" customHeight="false" outlineLevel="0" collapsed="false">
      <c r="A1003" s="26"/>
      <c r="B1003" s="27" t="str">
        <f aca="false">IF(A1003="","",A1003+7-WEEKDAY(A1003,1)+1)</f>
        <v/>
      </c>
      <c r="C1003" s="28"/>
      <c r="D1003" s="29"/>
      <c r="E1003" s="28"/>
      <c r="F1003" s="28"/>
      <c r="G1003" s="30"/>
      <c r="H1003" s="31" t="str">
        <f aca="false">IF(E1003="","",IFERROR(INDEX(Lists!$C$2:$C$86,MATCH(E1003,Lists!$A$2:$A$86,0)),"?"))</f>
        <v/>
      </c>
      <c r="I1003" s="32" t="str">
        <f aca="false">IF(OR(C1003="",E1003=""),"",IF(H1003="Yes",IFERROR(INDEX(Employees!$E$4:$E$43,MATCH(C1003,Employees!$B$4:$B$43,0)),0),0))</f>
        <v/>
      </c>
      <c r="J1003" s="33" t="str">
        <f aca="false">IF(G1003="","",IF(H1003="Yes",G1003*I1003,0))</f>
        <v/>
      </c>
      <c r="K1003" s="33" t="str">
        <f aca="false">IF(OR(C1003="",G1003=""),"",G1003*IFERROR(INDEX(Employees!$F$4:$F$43,MATCH(C1003,Employees!$B$4:$B$43,0)),0))</f>
        <v/>
      </c>
      <c r="L1003" s="28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C4:C1003" type="list">
      <formula1>Employees!$B$4:$B$43</formula1>
      <formula2>0</formula2>
    </dataValidation>
    <dataValidation allowBlank="true" errorStyle="stop" operator="between" showDropDown="false" showErrorMessage="false" showInputMessage="false" sqref="D4:D1003" type="list">
      <formula1>Lists!$F$2:$F$3</formula1>
      <formula2>0</formula2>
    </dataValidation>
    <dataValidation allowBlank="true" errorStyle="stop" operator="between" showDropDown="false" showErrorMessage="false" showInputMessage="false" sqref="E4:E1003" type="list">
      <formula1>Lists!$A$2:$A$86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5" t="s">
        <v>54</v>
      </c>
      <c r="B1" s="15"/>
      <c r="C1" s="15"/>
      <c r="D1" s="15"/>
      <c r="E1" s="15"/>
      <c r="F1" s="15"/>
      <c r="G1" s="15"/>
      <c r="H1" s="15"/>
      <c r="I1" s="15"/>
    </row>
    <row r="2" customFormat="false" ht="15.75" hidden="false" customHeight="true" outlineLevel="0" collapsed="false">
      <c r="A2" s="16" t="s">
        <v>55</v>
      </c>
      <c r="B2" s="16"/>
      <c r="C2" s="16"/>
      <c r="D2" s="16"/>
      <c r="E2" s="16"/>
      <c r="F2" s="16"/>
      <c r="G2" s="16"/>
      <c r="H2" s="16"/>
      <c r="I2" s="16"/>
    </row>
    <row r="3" customFormat="false" ht="30" hidden="false" customHeight="true" outlineLevel="0" collapsed="false">
      <c r="A3" s="17" t="s">
        <v>56</v>
      </c>
      <c r="B3" s="17" t="s">
        <v>57</v>
      </c>
      <c r="C3" s="17" t="s">
        <v>58</v>
      </c>
      <c r="D3" s="17" t="s">
        <v>59</v>
      </c>
      <c r="E3" s="17" t="s">
        <v>60</v>
      </c>
      <c r="F3" s="17" t="s">
        <v>41</v>
      </c>
      <c r="G3" s="17" t="s">
        <v>61</v>
      </c>
      <c r="H3" s="17" t="s">
        <v>62</v>
      </c>
      <c r="I3" s="17" t="s">
        <v>63</v>
      </c>
    </row>
    <row r="4" customFormat="false" ht="15" hidden="false" customHeight="false" outlineLevel="0" collapsed="false">
      <c r="A4" s="21" t="s">
        <v>64</v>
      </c>
      <c r="B4" s="20" t="s">
        <v>65</v>
      </c>
      <c r="C4" s="20" t="s">
        <v>51</v>
      </c>
      <c r="D4" s="21" t="s">
        <v>66</v>
      </c>
      <c r="E4" s="21" t="s">
        <v>67</v>
      </c>
      <c r="F4" s="21" t="s">
        <v>52</v>
      </c>
      <c r="G4" s="34" t="n">
        <v>85000</v>
      </c>
      <c r="H4" s="18"/>
      <c r="I4" s="20" t="s">
        <v>68</v>
      </c>
    </row>
    <row r="5" customFormat="false" ht="15" hidden="false" customHeight="false" outlineLevel="0" collapsed="false">
      <c r="A5" s="29"/>
      <c r="B5" s="28"/>
      <c r="C5" s="28"/>
      <c r="D5" s="29"/>
      <c r="E5" s="29"/>
      <c r="F5" s="29"/>
      <c r="G5" s="35"/>
      <c r="H5" s="26"/>
      <c r="I5" s="28"/>
    </row>
    <row r="6" customFormat="false" ht="15" hidden="false" customHeight="false" outlineLevel="0" collapsed="false">
      <c r="A6" s="29"/>
      <c r="B6" s="28"/>
      <c r="C6" s="28"/>
      <c r="D6" s="29"/>
      <c r="E6" s="29"/>
      <c r="F6" s="29"/>
      <c r="G6" s="35"/>
      <c r="H6" s="26"/>
      <c r="I6" s="28"/>
    </row>
    <row r="7" customFormat="false" ht="15" hidden="false" customHeight="false" outlineLevel="0" collapsed="false">
      <c r="A7" s="29"/>
      <c r="B7" s="28"/>
      <c r="C7" s="28"/>
      <c r="D7" s="29"/>
      <c r="E7" s="29"/>
      <c r="F7" s="29"/>
      <c r="G7" s="35"/>
      <c r="H7" s="26"/>
      <c r="I7" s="28"/>
    </row>
    <row r="8" customFormat="false" ht="15" hidden="false" customHeight="false" outlineLevel="0" collapsed="false">
      <c r="A8" s="29"/>
      <c r="B8" s="28"/>
      <c r="C8" s="28"/>
      <c r="D8" s="29"/>
      <c r="E8" s="29"/>
      <c r="F8" s="29"/>
      <c r="G8" s="35"/>
      <c r="H8" s="26"/>
      <c r="I8" s="28"/>
    </row>
    <row r="9" customFormat="false" ht="15" hidden="false" customHeight="false" outlineLevel="0" collapsed="false">
      <c r="A9" s="29"/>
      <c r="B9" s="28"/>
      <c r="C9" s="28"/>
      <c r="D9" s="29"/>
      <c r="E9" s="29"/>
      <c r="F9" s="29"/>
      <c r="G9" s="35"/>
      <c r="H9" s="26"/>
      <c r="I9" s="28"/>
    </row>
    <row r="10" customFormat="false" ht="15" hidden="false" customHeight="false" outlineLevel="0" collapsed="false">
      <c r="A10" s="29"/>
      <c r="B10" s="28"/>
      <c r="C10" s="28"/>
      <c r="D10" s="29"/>
      <c r="E10" s="29"/>
      <c r="F10" s="29"/>
      <c r="G10" s="35"/>
      <c r="H10" s="26"/>
      <c r="I10" s="28"/>
    </row>
    <row r="11" customFormat="false" ht="15" hidden="false" customHeight="false" outlineLevel="0" collapsed="false">
      <c r="A11" s="29"/>
      <c r="B11" s="28"/>
      <c r="C11" s="28"/>
      <c r="D11" s="29"/>
      <c r="E11" s="29"/>
      <c r="F11" s="29"/>
      <c r="G11" s="35"/>
      <c r="H11" s="26"/>
      <c r="I11" s="28"/>
    </row>
    <row r="12" customFormat="false" ht="15" hidden="false" customHeight="false" outlineLevel="0" collapsed="false">
      <c r="A12" s="29"/>
      <c r="B12" s="28"/>
      <c r="C12" s="28"/>
      <c r="D12" s="29"/>
      <c r="E12" s="29"/>
      <c r="F12" s="29"/>
      <c r="G12" s="35"/>
      <c r="H12" s="26"/>
      <c r="I12" s="28"/>
    </row>
    <row r="13" customFormat="false" ht="15" hidden="false" customHeight="false" outlineLevel="0" collapsed="false">
      <c r="A13" s="29"/>
      <c r="B13" s="28"/>
      <c r="C13" s="28"/>
      <c r="D13" s="29"/>
      <c r="E13" s="29"/>
      <c r="F13" s="29"/>
      <c r="G13" s="35"/>
      <c r="H13" s="26"/>
      <c r="I13" s="28"/>
    </row>
    <row r="14" customFormat="false" ht="15" hidden="false" customHeight="false" outlineLevel="0" collapsed="false">
      <c r="A14" s="29"/>
      <c r="B14" s="28"/>
      <c r="C14" s="28"/>
      <c r="D14" s="29"/>
      <c r="E14" s="29"/>
      <c r="F14" s="29"/>
      <c r="G14" s="35"/>
      <c r="H14" s="26"/>
      <c r="I14" s="28"/>
    </row>
    <row r="15" customFormat="false" ht="15" hidden="false" customHeight="false" outlineLevel="0" collapsed="false">
      <c r="A15" s="29"/>
      <c r="B15" s="28"/>
      <c r="C15" s="28"/>
      <c r="D15" s="29"/>
      <c r="E15" s="29"/>
      <c r="F15" s="29"/>
      <c r="G15" s="35"/>
      <c r="H15" s="26"/>
      <c r="I15" s="28"/>
    </row>
    <row r="16" customFormat="false" ht="15" hidden="false" customHeight="false" outlineLevel="0" collapsed="false">
      <c r="A16" s="29"/>
      <c r="B16" s="28"/>
      <c r="C16" s="28"/>
      <c r="D16" s="29"/>
      <c r="E16" s="29"/>
      <c r="F16" s="29"/>
      <c r="G16" s="35"/>
      <c r="H16" s="26"/>
      <c r="I16" s="28"/>
    </row>
    <row r="17" customFormat="false" ht="15" hidden="false" customHeight="false" outlineLevel="0" collapsed="false">
      <c r="A17" s="29"/>
      <c r="B17" s="28"/>
      <c r="C17" s="28"/>
      <c r="D17" s="29"/>
      <c r="E17" s="29"/>
      <c r="F17" s="29"/>
      <c r="G17" s="35"/>
      <c r="H17" s="26"/>
      <c r="I17" s="28"/>
    </row>
    <row r="18" customFormat="false" ht="15" hidden="false" customHeight="false" outlineLevel="0" collapsed="false">
      <c r="A18" s="29"/>
      <c r="B18" s="28"/>
      <c r="C18" s="28"/>
      <c r="D18" s="29"/>
      <c r="E18" s="29"/>
      <c r="F18" s="29"/>
      <c r="G18" s="35"/>
      <c r="H18" s="26"/>
      <c r="I18" s="28"/>
    </row>
    <row r="19" customFormat="false" ht="15" hidden="false" customHeight="false" outlineLevel="0" collapsed="false">
      <c r="A19" s="29"/>
      <c r="B19" s="28"/>
      <c r="C19" s="28"/>
      <c r="D19" s="29"/>
      <c r="E19" s="29"/>
      <c r="F19" s="29"/>
      <c r="G19" s="35"/>
      <c r="H19" s="26"/>
      <c r="I19" s="28"/>
    </row>
    <row r="20" customFormat="false" ht="15" hidden="false" customHeight="false" outlineLevel="0" collapsed="false">
      <c r="A20" s="29"/>
      <c r="B20" s="28"/>
      <c r="C20" s="28"/>
      <c r="D20" s="29"/>
      <c r="E20" s="29"/>
      <c r="F20" s="29"/>
      <c r="G20" s="35"/>
      <c r="H20" s="26"/>
      <c r="I20" s="28"/>
    </row>
    <row r="21" customFormat="false" ht="15" hidden="false" customHeight="false" outlineLevel="0" collapsed="false">
      <c r="A21" s="29"/>
      <c r="B21" s="28"/>
      <c r="C21" s="28"/>
      <c r="D21" s="29"/>
      <c r="E21" s="29"/>
      <c r="F21" s="29"/>
      <c r="G21" s="35"/>
      <c r="H21" s="26"/>
      <c r="I21" s="28"/>
    </row>
    <row r="22" customFormat="false" ht="15" hidden="false" customHeight="false" outlineLevel="0" collapsed="false">
      <c r="A22" s="29"/>
      <c r="B22" s="28"/>
      <c r="C22" s="28"/>
      <c r="D22" s="29"/>
      <c r="E22" s="29"/>
      <c r="F22" s="29"/>
      <c r="G22" s="35"/>
      <c r="H22" s="26"/>
      <c r="I22" s="28"/>
    </row>
    <row r="23" customFormat="false" ht="15" hidden="false" customHeight="false" outlineLevel="0" collapsed="false">
      <c r="A23" s="29"/>
      <c r="B23" s="28"/>
      <c r="C23" s="28"/>
      <c r="D23" s="29"/>
      <c r="E23" s="29"/>
      <c r="F23" s="29"/>
      <c r="G23" s="35"/>
      <c r="H23" s="26"/>
      <c r="I23" s="28"/>
    </row>
    <row r="24" customFormat="false" ht="15" hidden="false" customHeight="false" outlineLevel="0" collapsed="false">
      <c r="A24" s="29"/>
      <c r="B24" s="28"/>
      <c r="C24" s="28"/>
      <c r="D24" s="29"/>
      <c r="E24" s="29"/>
      <c r="F24" s="29"/>
      <c r="G24" s="35"/>
      <c r="H24" s="26"/>
      <c r="I24" s="28"/>
    </row>
    <row r="25" customFormat="false" ht="15" hidden="false" customHeight="false" outlineLevel="0" collapsed="false">
      <c r="A25" s="29"/>
      <c r="B25" s="28"/>
      <c r="C25" s="28"/>
      <c r="D25" s="29"/>
      <c r="E25" s="29"/>
      <c r="F25" s="29"/>
      <c r="G25" s="35"/>
      <c r="H25" s="26"/>
      <c r="I25" s="28"/>
    </row>
    <row r="26" customFormat="false" ht="15" hidden="false" customHeight="false" outlineLevel="0" collapsed="false">
      <c r="A26" s="29"/>
      <c r="B26" s="28"/>
      <c r="C26" s="28"/>
      <c r="D26" s="29"/>
      <c r="E26" s="29"/>
      <c r="F26" s="29"/>
      <c r="G26" s="35"/>
      <c r="H26" s="26"/>
      <c r="I26" s="28"/>
    </row>
    <row r="27" customFormat="false" ht="15" hidden="false" customHeight="false" outlineLevel="0" collapsed="false">
      <c r="A27" s="29"/>
      <c r="B27" s="28"/>
      <c r="C27" s="28"/>
      <c r="D27" s="29"/>
      <c r="E27" s="29"/>
      <c r="F27" s="29"/>
      <c r="G27" s="35"/>
      <c r="H27" s="26"/>
      <c r="I27" s="28"/>
    </row>
    <row r="28" customFormat="false" ht="15" hidden="false" customHeight="false" outlineLevel="0" collapsed="false">
      <c r="A28" s="29"/>
      <c r="B28" s="28"/>
      <c r="C28" s="28"/>
      <c r="D28" s="29"/>
      <c r="E28" s="29"/>
      <c r="F28" s="29"/>
      <c r="G28" s="35"/>
      <c r="H28" s="26"/>
      <c r="I28" s="28"/>
    </row>
    <row r="29" customFormat="false" ht="15" hidden="false" customHeight="false" outlineLevel="0" collapsed="false">
      <c r="A29" s="29"/>
      <c r="B29" s="28"/>
      <c r="C29" s="28"/>
      <c r="D29" s="29"/>
      <c r="E29" s="29"/>
      <c r="F29" s="29"/>
      <c r="G29" s="35"/>
      <c r="H29" s="26"/>
      <c r="I29" s="28"/>
    </row>
    <row r="30" customFormat="false" ht="15" hidden="false" customHeight="false" outlineLevel="0" collapsed="false">
      <c r="A30" s="29"/>
      <c r="B30" s="28"/>
      <c r="C30" s="28"/>
      <c r="D30" s="29"/>
      <c r="E30" s="29"/>
      <c r="F30" s="29"/>
      <c r="G30" s="35"/>
      <c r="H30" s="26"/>
      <c r="I30" s="28"/>
    </row>
    <row r="31" customFormat="false" ht="15" hidden="false" customHeight="false" outlineLevel="0" collapsed="false">
      <c r="A31" s="29"/>
      <c r="B31" s="28"/>
      <c r="C31" s="28"/>
      <c r="D31" s="29"/>
      <c r="E31" s="29"/>
      <c r="F31" s="29"/>
      <c r="G31" s="35"/>
      <c r="H31" s="26"/>
      <c r="I31" s="28"/>
    </row>
    <row r="32" customFormat="false" ht="15" hidden="false" customHeight="false" outlineLevel="0" collapsed="false">
      <c r="A32" s="29"/>
      <c r="B32" s="28"/>
      <c r="C32" s="28"/>
      <c r="D32" s="29"/>
      <c r="E32" s="29"/>
      <c r="F32" s="29"/>
      <c r="G32" s="35"/>
      <c r="H32" s="26"/>
      <c r="I32" s="28"/>
    </row>
    <row r="33" customFormat="false" ht="15" hidden="false" customHeight="false" outlineLevel="0" collapsed="false">
      <c r="A33" s="29"/>
      <c r="B33" s="28"/>
      <c r="C33" s="28"/>
      <c r="D33" s="29"/>
      <c r="E33" s="29"/>
      <c r="F33" s="29"/>
      <c r="G33" s="35"/>
      <c r="H33" s="26"/>
      <c r="I33" s="28"/>
    </row>
    <row r="34" customFormat="false" ht="15" hidden="false" customHeight="false" outlineLevel="0" collapsed="false">
      <c r="A34" s="29"/>
      <c r="B34" s="28"/>
      <c r="C34" s="28"/>
      <c r="D34" s="29"/>
      <c r="E34" s="29"/>
      <c r="F34" s="29"/>
      <c r="G34" s="35"/>
      <c r="H34" s="26"/>
      <c r="I34" s="28"/>
    </row>
    <row r="35" customFormat="false" ht="15" hidden="false" customHeight="false" outlineLevel="0" collapsed="false">
      <c r="A35" s="29"/>
      <c r="B35" s="28"/>
      <c r="C35" s="28"/>
      <c r="D35" s="29"/>
      <c r="E35" s="29"/>
      <c r="F35" s="29"/>
      <c r="G35" s="35"/>
      <c r="H35" s="26"/>
      <c r="I35" s="28"/>
    </row>
    <row r="36" customFormat="false" ht="15" hidden="false" customHeight="false" outlineLevel="0" collapsed="false">
      <c r="A36" s="29"/>
      <c r="B36" s="28"/>
      <c r="C36" s="28"/>
      <c r="D36" s="29"/>
      <c r="E36" s="29"/>
      <c r="F36" s="29"/>
      <c r="G36" s="35"/>
      <c r="H36" s="26"/>
      <c r="I36" s="28"/>
    </row>
    <row r="37" customFormat="false" ht="15" hidden="false" customHeight="false" outlineLevel="0" collapsed="false">
      <c r="A37" s="29"/>
      <c r="B37" s="28"/>
      <c r="C37" s="28"/>
      <c r="D37" s="29"/>
      <c r="E37" s="29"/>
      <c r="F37" s="29"/>
      <c r="G37" s="35"/>
      <c r="H37" s="26"/>
      <c r="I37" s="28"/>
    </row>
    <row r="38" customFormat="false" ht="15" hidden="false" customHeight="false" outlineLevel="0" collapsed="false">
      <c r="A38" s="29"/>
      <c r="B38" s="28"/>
      <c r="C38" s="28"/>
      <c r="D38" s="29"/>
      <c r="E38" s="29"/>
      <c r="F38" s="29"/>
      <c r="G38" s="35"/>
      <c r="H38" s="26"/>
      <c r="I38" s="28"/>
    </row>
    <row r="39" customFormat="false" ht="15" hidden="false" customHeight="false" outlineLevel="0" collapsed="false">
      <c r="A39" s="29"/>
      <c r="B39" s="28"/>
      <c r="C39" s="28"/>
      <c r="D39" s="29"/>
      <c r="E39" s="29"/>
      <c r="F39" s="29"/>
      <c r="G39" s="35"/>
      <c r="H39" s="26"/>
      <c r="I39" s="28"/>
    </row>
    <row r="40" customFormat="false" ht="15" hidden="false" customHeight="false" outlineLevel="0" collapsed="false">
      <c r="A40" s="29"/>
      <c r="B40" s="28"/>
      <c r="C40" s="28"/>
      <c r="D40" s="29"/>
      <c r="E40" s="29"/>
      <c r="F40" s="29"/>
      <c r="G40" s="35"/>
      <c r="H40" s="26"/>
      <c r="I40" s="28"/>
    </row>
    <row r="41" customFormat="false" ht="15" hidden="false" customHeight="false" outlineLevel="0" collapsed="false">
      <c r="A41" s="29"/>
      <c r="B41" s="28"/>
      <c r="C41" s="28"/>
      <c r="D41" s="29"/>
      <c r="E41" s="29"/>
      <c r="F41" s="29"/>
      <c r="G41" s="35"/>
      <c r="H41" s="26"/>
      <c r="I41" s="28"/>
    </row>
    <row r="42" customFormat="false" ht="15" hidden="false" customHeight="false" outlineLevel="0" collapsed="false">
      <c r="A42" s="29"/>
      <c r="B42" s="28"/>
      <c r="C42" s="28"/>
      <c r="D42" s="29"/>
      <c r="E42" s="29"/>
      <c r="F42" s="29"/>
      <c r="G42" s="35"/>
      <c r="H42" s="26"/>
      <c r="I42" s="28"/>
    </row>
    <row r="43" customFormat="false" ht="15" hidden="false" customHeight="false" outlineLevel="0" collapsed="false">
      <c r="A43" s="29"/>
      <c r="B43" s="28"/>
      <c r="C43" s="28"/>
      <c r="D43" s="29"/>
      <c r="E43" s="29"/>
      <c r="F43" s="29"/>
      <c r="G43" s="35"/>
      <c r="H43" s="26"/>
      <c r="I43" s="28"/>
    </row>
    <row r="44" customFormat="false" ht="15" hidden="false" customHeight="false" outlineLevel="0" collapsed="false">
      <c r="A44" s="29"/>
      <c r="B44" s="28"/>
      <c r="C44" s="28"/>
      <c r="D44" s="29"/>
      <c r="E44" s="29"/>
      <c r="F44" s="29"/>
      <c r="G44" s="35"/>
      <c r="H44" s="26"/>
      <c r="I44" s="28"/>
    </row>
    <row r="45" customFormat="false" ht="15" hidden="false" customHeight="false" outlineLevel="0" collapsed="false">
      <c r="A45" s="29"/>
      <c r="B45" s="28"/>
      <c r="C45" s="28"/>
      <c r="D45" s="29"/>
      <c r="E45" s="29"/>
      <c r="F45" s="29"/>
      <c r="G45" s="35"/>
      <c r="H45" s="26"/>
      <c r="I45" s="28"/>
    </row>
    <row r="46" customFormat="false" ht="15" hidden="false" customHeight="false" outlineLevel="0" collapsed="false">
      <c r="A46" s="29"/>
      <c r="B46" s="28"/>
      <c r="C46" s="28"/>
      <c r="D46" s="29"/>
      <c r="E46" s="29"/>
      <c r="F46" s="29"/>
      <c r="G46" s="35"/>
      <c r="H46" s="26"/>
      <c r="I46" s="28"/>
    </row>
    <row r="47" customFormat="false" ht="15" hidden="false" customHeight="false" outlineLevel="0" collapsed="false">
      <c r="A47" s="29"/>
      <c r="B47" s="28"/>
      <c r="C47" s="28"/>
      <c r="D47" s="29"/>
      <c r="E47" s="29"/>
      <c r="F47" s="29"/>
      <c r="G47" s="35"/>
      <c r="H47" s="26"/>
      <c r="I47" s="28"/>
    </row>
    <row r="48" customFormat="false" ht="15" hidden="false" customHeight="false" outlineLevel="0" collapsed="false">
      <c r="A48" s="29"/>
      <c r="B48" s="28"/>
      <c r="C48" s="28"/>
      <c r="D48" s="29"/>
      <c r="E48" s="29"/>
      <c r="F48" s="29"/>
      <c r="G48" s="35"/>
      <c r="H48" s="26"/>
      <c r="I48" s="28"/>
    </row>
    <row r="49" customFormat="false" ht="15" hidden="false" customHeight="false" outlineLevel="0" collapsed="false">
      <c r="A49" s="29"/>
      <c r="B49" s="28"/>
      <c r="C49" s="28"/>
      <c r="D49" s="29"/>
      <c r="E49" s="29"/>
      <c r="F49" s="29"/>
      <c r="G49" s="35"/>
      <c r="H49" s="26"/>
      <c r="I49" s="28"/>
    </row>
    <row r="50" customFormat="false" ht="15" hidden="false" customHeight="false" outlineLevel="0" collapsed="false">
      <c r="A50" s="29"/>
      <c r="B50" s="28"/>
      <c r="C50" s="28"/>
      <c r="D50" s="29"/>
      <c r="E50" s="29"/>
      <c r="F50" s="29"/>
      <c r="G50" s="35"/>
      <c r="H50" s="26"/>
      <c r="I50" s="28"/>
    </row>
    <row r="51" customFormat="false" ht="15" hidden="false" customHeight="false" outlineLevel="0" collapsed="false">
      <c r="A51" s="29"/>
      <c r="B51" s="28"/>
      <c r="C51" s="28"/>
      <c r="D51" s="29"/>
      <c r="E51" s="29"/>
      <c r="F51" s="29"/>
      <c r="G51" s="35"/>
      <c r="H51" s="26"/>
      <c r="I51" s="28"/>
    </row>
    <row r="52" customFormat="false" ht="15" hidden="false" customHeight="false" outlineLevel="0" collapsed="false">
      <c r="A52" s="29"/>
      <c r="B52" s="28"/>
      <c r="C52" s="28"/>
      <c r="D52" s="29"/>
      <c r="E52" s="29"/>
      <c r="F52" s="29"/>
      <c r="G52" s="35"/>
      <c r="H52" s="26"/>
      <c r="I52" s="28"/>
    </row>
    <row r="53" customFormat="false" ht="15" hidden="false" customHeight="false" outlineLevel="0" collapsed="false">
      <c r="A53" s="29"/>
      <c r="B53" s="28"/>
      <c r="C53" s="28"/>
      <c r="D53" s="29"/>
      <c r="E53" s="29"/>
      <c r="F53" s="29"/>
      <c r="G53" s="35"/>
      <c r="H53" s="26"/>
      <c r="I53" s="28"/>
    </row>
    <row r="54" customFormat="false" ht="15" hidden="false" customHeight="false" outlineLevel="0" collapsed="false">
      <c r="A54" s="29"/>
      <c r="B54" s="28"/>
      <c r="C54" s="28"/>
      <c r="D54" s="29"/>
      <c r="E54" s="29"/>
      <c r="F54" s="29"/>
      <c r="G54" s="35"/>
      <c r="H54" s="26"/>
      <c r="I54" s="28"/>
    </row>
    <row r="55" customFormat="false" ht="15" hidden="false" customHeight="false" outlineLevel="0" collapsed="false">
      <c r="A55" s="29"/>
      <c r="B55" s="28"/>
      <c r="C55" s="28"/>
      <c r="D55" s="29"/>
      <c r="E55" s="29"/>
      <c r="F55" s="29"/>
      <c r="G55" s="35"/>
      <c r="H55" s="26"/>
      <c r="I55" s="28"/>
    </row>
    <row r="56" customFormat="false" ht="15" hidden="false" customHeight="false" outlineLevel="0" collapsed="false">
      <c r="A56" s="29"/>
      <c r="B56" s="28"/>
      <c r="C56" s="28"/>
      <c r="D56" s="29"/>
      <c r="E56" s="29"/>
      <c r="F56" s="29"/>
      <c r="G56" s="35"/>
      <c r="H56" s="26"/>
      <c r="I56" s="28"/>
    </row>
    <row r="57" customFormat="false" ht="15" hidden="false" customHeight="false" outlineLevel="0" collapsed="false">
      <c r="A57" s="29"/>
      <c r="B57" s="28"/>
      <c r="C57" s="28"/>
      <c r="D57" s="29"/>
      <c r="E57" s="29"/>
      <c r="F57" s="29"/>
      <c r="G57" s="35"/>
      <c r="H57" s="26"/>
      <c r="I57" s="28"/>
    </row>
    <row r="58" customFormat="false" ht="15" hidden="false" customHeight="false" outlineLevel="0" collapsed="false">
      <c r="A58" s="29"/>
      <c r="B58" s="28"/>
      <c r="C58" s="28"/>
      <c r="D58" s="29"/>
      <c r="E58" s="29"/>
      <c r="F58" s="29"/>
      <c r="G58" s="35"/>
      <c r="H58" s="26"/>
      <c r="I58" s="28"/>
    </row>
    <row r="59" customFormat="false" ht="15" hidden="false" customHeight="false" outlineLevel="0" collapsed="false">
      <c r="A59" s="29"/>
      <c r="B59" s="28"/>
      <c r="C59" s="28"/>
      <c r="D59" s="29"/>
      <c r="E59" s="29"/>
      <c r="F59" s="29"/>
      <c r="G59" s="35"/>
      <c r="H59" s="26"/>
      <c r="I59" s="28"/>
    </row>
    <row r="60" customFormat="false" ht="15" hidden="false" customHeight="false" outlineLevel="0" collapsed="false">
      <c r="A60" s="29"/>
      <c r="B60" s="28"/>
      <c r="C60" s="28"/>
      <c r="D60" s="29"/>
      <c r="E60" s="29"/>
      <c r="F60" s="29"/>
      <c r="G60" s="35"/>
      <c r="H60" s="26"/>
      <c r="I60" s="28"/>
    </row>
    <row r="61" customFormat="false" ht="15" hidden="false" customHeight="false" outlineLevel="0" collapsed="false">
      <c r="A61" s="29"/>
      <c r="B61" s="28"/>
      <c r="C61" s="28"/>
      <c r="D61" s="29"/>
      <c r="E61" s="29"/>
      <c r="F61" s="29"/>
      <c r="G61" s="35"/>
      <c r="H61" s="26"/>
      <c r="I61" s="28"/>
    </row>
    <row r="62" customFormat="false" ht="15" hidden="false" customHeight="false" outlineLevel="0" collapsed="false">
      <c r="A62" s="29"/>
      <c r="B62" s="28"/>
      <c r="C62" s="28"/>
      <c r="D62" s="29"/>
      <c r="E62" s="29"/>
      <c r="F62" s="29"/>
      <c r="G62" s="35"/>
      <c r="H62" s="26"/>
      <c r="I62" s="28"/>
    </row>
    <row r="63" customFormat="false" ht="15" hidden="false" customHeight="false" outlineLevel="0" collapsed="false">
      <c r="A63" s="29"/>
      <c r="B63" s="28"/>
      <c r="C63" s="28"/>
      <c r="D63" s="29"/>
      <c r="E63" s="29"/>
      <c r="F63" s="29"/>
      <c r="G63" s="35"/>
      <c r="H63" s="26"/>
      <c r="I63" s="28"/>
    </row>
    <row r="65" customFormat="false" ht="15" hidden="false" customHeight="false" outlineLevel="0" collapsed="false">
      <c r="B65" s="7" t="s">
        <v>69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7" min="5" style="0" width="16"/>
  </cols>
  <sheetData>
    <row r="1" customFormat="false" ht="30" hidden="false" customHeight="true" outlineLevel="0" collapsed="false">
      <c r="A1" s="15" t="s">
        <v>70</v>
      </c>
      <c r="B1" s="15"/>
      <c r="C1" s="15"/>
      <c r="D1" s="15"/>
      <c r="E1" s="15"/>
      <c r="F1" s="15"/>
      <c r="G1" s="15"/>
    </row>
    <row r="2" customFormat="false" ht="15.75" hidden="false" customHeight="true" outlineLevel="0" collapsed="false">
      <c r="A2" s="16" t="s">
        <v>71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72</v>
      </c>
      <c r="B3" s="17" t="s">
        <v>73</v>
      </c>
      <c r="C3" s="17" t="s">
        <v>74</v>
      </c>
      <c r="D3" s="17" t="s">
        <v>60</v>
      </c>
      <c r="E3" s="17" t="s">
        <v>75</v>
      </c>
      <c r="F3" s="17" t="s">
        <v>76</v>
      </c>
      <c r="G3" s="17" t="s">
        <v>77</v>
      </c>
    </row>
    <row r="4" customFormat="false" ht="15" hidden="false" customHeight="false" outlineLevel="0" collapsed="false">
      <c r="A4" s="21" t="s">
        <v>78</v>
      </c>
      <c r="B4" s="20" t="s">
        <v>49</v>
      </c>
      <c r="C4" s="20" t="s">
        <v>79</v>
      </c>
      <c r="D4" s="21" t="s">
        <v>67</v>
      </c>
      <c r="E4" s="36" t="n">
        <v>145</v>
      </c>
      <c r="F4" s="36" t="n">
        <v>68</v>
      </c>
      <c r="G4" s="37" t="n">
        <v>0.75</v>
      </c>
    </row>
    <row r="5" customFormat="false" ht="15" hidden="false" customHeight="false" outlineLevel="0" collapsed="false">
      <c r="A5" s="29"/>
      <c r="B5" s="28"/>
      <c r="C5" s="28"/>
      <c r="D5" s="29"/>
      <c r="E5" s="38"/>
      <c r="F5" s="38"/>
      <c r="G5" s="39"/>
    </row>
    <row r="6" customFormat="false" ht="15" hidden="false" customHeight="false" outlineLevel="0" collapsed="false">
      <c r="A6" s="29"/>
      <c r="B6" s="28"/>
      <c r="C6" s="28"/>
      <c r="D6" s="29"/>
      <c r="E6" s="38"/>
      <c r="F6" s="38"/>
      <c r="G6" s="39"/>
    </row>
    <row r="7" customFormat="false" ht="15" hidden="false" customHeight="false" outlineLevel="0" collapsed="false">
      <c r="A7" s="29"/>
      <c r="B7" s="28"/>
      <c r="C7" s="28"/>
      <c r="D7" s="29"/>
      <c r="E7" s="38"/>
      <c r="F7" s="38"/>
      <c r="G7" s="39"/>
    </row>
    <row r="8" customFormat="false" ht="15" hidden="false" customHeight="false" outlineLevel="0" collapsed="false">
      <c r="A8" s="29"/>
      <c r="B8" s="28"/>
      <c r="C8" s="28"/>
      <c r="D8" s="29"/>
      <c r="E8" s="38"/>
      <c r="F8" s="38"/>
      <c r="G8" s="39"/>
    </row>
    <row r="9" customFormat="false" ht="15" hidden="false" customHeight="false" outlineLevel="0" collapsed="false">
      <c r="A9" s="29"/>
      <c r="B9" s="28"/>
      <c r="C9" s="28"/>
      <c r="D9" s="29"/>
      <c r="E9" s="38"/>
      <c r="F9" s="38"/>
      <c r="G9" s="39"/>
    </row>
    <row r="10" customFormat="false" ht="15" hidden="false" customHeight="false" outlineLevel="0" collapsed="false">
      <c r="A10" s="29"/>
      <c r="B10" s="28"/>
      <c r="C10" s="28"/>
      <c r="D10" s="29"/>
      <c r="E10" s="38"/>
      <c r="F10" s="38"/>
      <c r="G10" s="39"/>
    </row>
    <row r="11" customFormat="false" ht="15" hidden="false" customHeight="false" outlineLevel="0" collapsed="false">
      <c r="A11" s="29"/>
      <c r="B11" s="28"/>
      <c r="C11" s="28"/>
      <c r="D11" s="29"/>
      <c r="E11" s="38"/>
      <c r="F11" s="38"/>
      <c r="G11" s="39"/>
    </row>
    <row r="12" customFormat="false" ht="15" hidden="false" customHeight="false" outlineLevel="0" collapsed="false">
      <c r="A12" s="29"/>
      <c r="B12" s="28"/>
      <c r="C12" s="28"/>
      <c r="D12" s="29"/>
      <c r="E12" s="38"/>
      <c r="F12" s="38"/>
      <c r="G12" s="39"/>
    </row>
    <row r="13" customFormat="false" ht="15" hidden="false" customHeight="false" outlineLevel="0" collapsed="false">
      <c r="A13" s="29"/>
      <c r="B13" s="28"/>
      <c r="C13" s="28"/>
      <c r="D13" s="29"/>
      <c r="E13" s="38"/>
      <c r="F13" s="38"/>
      <c r="G13" s="39"/>
    </row>
    <row r="14" customFormat="false" ht="15" hidden="false" customHeight="false" outlineLevel="0" collapsed="false">
      <c r="A14" s="29"/>
      <c r="B14" s="28"/>
      <c r="C14" s="28"/>
      <c r="D14" s="29"/>
      <c r="E14" s="38"/>
      <c r="F14" s="38"/>
      <c r="G14" s="39"/>
    </row>
    <row r="15" customFormat="false" ht="15" hidden="false" customHeight="false" outlineLevel="0" collapsed="false">
      <c r="A15" s="29"/>
      <c r="B15" s="28"/>
      <c r="C15" s="28"/>
      <c r="D15" s="29"/>
      <c r="E15" s="38"/>
      <c r="F15" s="38"/>
      <c r="G15" s="39"/>
    </row>
    <row r="16" customFormat="false" ht="15" hidden="false" customHeight="false" outlineLevel="0" collapsed="false">
      <c r="A16" s="29"/>
      <c r="B16" s="28"/>
      <c r="C16" s="28"/>
      <c r="D16" s="29"/>
      <c r="E16" s="38"/>
      <c r="F16" s="38"/>
      <c r="G16" s="39"/>
    </row>
    <row r="17" customFormat="false" ht="15" hidden="false" customHeight="false" outlineLevel="0" collapsed="false">
      <c r="A17" s="29"/>
      <c r="B17" s="28"/>
      <c r="C17" s="28"/>
      <c r="D17" s="29"/>
      <c r="E17" s="38"/>
      <c r="F17" s="38"/>
      <c r="G17" s="39"/>
    </row>
    <row r="18" customFormat="false" ht="15" hidden="false" customHeight="false" outlineLevel="0" collapsed="false">
      <c r="A18" s="29"/>
      <c r="B18" s="28"/>
      <c r="C18" s="28"/>
      <c r="D18" s="29"/>
      <c r="E18" s="38"/>
      <c r="F18" s="38"/>
      <c r="G18" s="39"/>
    </row>
    <row r="19" customFormat="false" ht="15" hidden="false" customHeight="false" outlineLevel="0" collapsed="false">
      <c r="A19" s="29"/>
      <c r="B19" s="28"/>
      <c r="C19" s="28"/>
      <c r="D19" s="29"/>
      <c r="E19" s="38"/>
      <c r="F19" s="38"/>
      <c r="G19" s="39"/>
    </row>
    <row r="20" customFormat="false" ht="15" hidden="false" customHeight="false" outlineLevel="0" collapsed="false">
      <c r="A20" s="29"/>
      <c r="B20" s="28"/>
      <c r="C20" s="28"/>
      <c r="D20" s="29"/>
      <c r="E20" s="38"/>
      <c r="F20" s="38"/>
      <c r="G20" s="39"/>
    </row>
    <row r="21" customFormat="false" ht="15" hidden="false" customHeight="false" outlineLevel="0" collapsed="false">
      <c r="A21" s="29"/>
      <c r="B21" s="28"/>
      <c r="C21" s="28"/>
      <c r="D21" s="29"/>
      <c r="E21" s="38"/>
      <c r="F21" s="38"/>
      <c r="G21" s="39"/>
    </row>
    <row r="22" customFormat="false" ht="15" hidden="false" customHeight="false" outlineLevel="0" collapsed="false">
      <c r="A22" s="29"/>
      <c r="B22" s="28"/>
      <c r="C22" s="28"/>
      <c r="D22" s="29"/>
      <c r="E22" s="38"/>
      <c r="F22" s="38"/>
      <c r="G22" s="39"/>
    </row>
    <row r="23" customFormat="false" ht="15" hidden="false" customHeight="false" outlineLevel="0" collapsed="false">
      <c r="A23" s="29"/>
      <c r="B23" s="28"/>
      <c r="C23" s="28"/>
      <c r="D23" s="29"/>
      <c r="E23" s="38"/>
      <c r="F23" s="38"/>
      <c r="G23" s="39"/>
    </row>
    <row r="24" customFormat="false" ht="15" hidden="false" customHeight="false" outlineLevel="0" collapsed="false">
      <c r="A24" s="29"/>
      <c r="B24" s="28"/>
      <c r="C24" s="28"/>
      <c r="D24" s="29"/>
      <c r="E24" s="38"/>
      <c r="F24" s="38"/>
      <c r="G24" s="39"/>
    </row>
    <row r="25" customFormat="false" ht="15" hidden="false" customHeight="false" outlineLevel="0" collapsed="false">
      <c r="A25" s="29"/>
      <c r="B25" s="28"/>
      <c r="C25" s="28"/>
      <c r="D25" s="29"/>
      <c r="E25" s="38"/>
      <c r="F25" s="38"/>
      <c r="G25" s="39"/>
    </row>
    <row r="26" customFormat="false" ht="15" hidden="false" customHeight="false" outlineLevel="0" collapsed="false">
      <c r="A26" s="29"/>
      <c r="B26" s="28"/>
      <c r="C26" s="28"/>
      <c r="D26" s="29"/>
      <c r="E26" s="38"/>
      <c r="F26" s="38"/>
      <c r="G26" s="39"/>
    </row>
    <row r="27" customFormat="false" ht="15" hidden="false" customHeight="false" outlineLevel="0" collapsed="false">
      <c r="A27" s="29"/>
      <c r="B27" s="28"/>
      <c r="C27" s="28"/>
      <c r="D27" s="29"/>
      <c r="E27" s="38"/>
      <c r="F27" s="38"/>
      <c r="G27" s="39"/>
    </row>
    <row r="28" customFormat="false" ht="15" hidden="false" customHeight="false" outlineLevel="0" collapsed="false">
      <c r="A28" s="29"/>
      <c r="B28" s="28"/>
      <c r="C28" s="28"/>
      <c r="D28" s="29"/>
      <c r="E28" s="38"/>
      <c r="F28" s="38"/>
      <c r="G28" s="39"/>
    </row>
    <row r="29" customFormat="false" ht="15" hidden="false" customHeight="false" outlineLevel="0" collapsed="false">
      <c r="A29" s="29"/>
      <c r="B29" s="28"/>
      <c r="C29" s="28"/>
      <c r="D29" s="29"/>
      <c r="E29" s="38"/>
      <c r="F29" s="38"/>
      <c r="G29" s="39"/>
    </row>
    <row r="30" customFormat="false" ht="15" hidden="false" customHeight="false" outlineLevel="0" collapsed="false">
      <c r="A30" s="29"/>
      <c r="B30" s="28"/>
      <c r="C30" s="28"/>
      <c r="D30" s="29"/>
      <c r="E30" s="38"/>
      <c r="F30" s="38"/>
      <c r="G30" s="39"/>
    </row>
    <row r="31" customFormat="false" ht="15" hidden="false" customHeight="false" outlineLevel="0" collapsed="false">
      <c r="A31" s="29"/>
      <c r="B31" s="28"/>
      <c r="C31" s="28"/>
      <c r="D31" s="29"/>
      <c r="E31" s="38"/>
      <c r="F31" s="38"/>
      <c r="G31" s="39"/>
    </row>
    <row r="32" customFormat="false" ht="15" hidden="false" customHeight="false" outlineLevel="0" collapsed="false">
      <c r="A32" s="29"/>
      <c r="B32" s="28"/>
      <c r="C32" s="28"/>
      <c r="D32" s="29"/>
      <c r="E32" s="38"/>
      <c r="F32" s="38"/>
      <c r="G32" s="39"/>
    </row>
    <row r="33" customFormat="false" ht="15" hidden="false" customHeight="false" outlineLevel="0" collapsed="false">
      <c r="A33" s="29"/>
      <c r="B33" s="28"/>
      <c r="C33" s="28"/>
      <c r="D33" s="29"/>
      <c r="E33" s="38"/>
      <c r="F33" s="38"/>
      <c r="G33" s="39"/>
    </row>
    <row r="34" customFormat="false" ht="15" hidden="false" customHeight="false" outlineLevel="0" collapsed="false">
      <c r="A34" s="29"/>
      <c r="B34" s="28"/>
      <c r="C34" s="28"/>
      <c r="D34" s="29"/>
      <c r="E34" s="38"/>
      <c r="F34" s="38"/>
      <c r="G34" s="39"/>
    </row>
    <row r="35" customFormat="false" ht="15" hidden="false" customHeight="false" outlineLevel="0" collapsed="false">
      <c r="A35" s="29"/>
      <c r="B35" s="28"/>
      <c r="C35" s="28"/>
      <c r="D35" s="29"/>
      <c r="E35" s="38"/>
      <c r="F35" s="38"/>
      <c r="G35" s="39"/>
    </row>
    <row r="36" customFormat="false" ht="15" hidden="false" customHeight="false" outlineLevel="0" collapsed="false">
      <c r="A36" s="29"/>
      <c r="B36" s="28"/>
      <c r="C36" s="28"/>
      <c r="D36" s="29"/>
      <c r="E36" s="38"/>
      <c r="F36" s="38"/>
      <c r="G36" s="39"/>
    </row>
    <row r="37" customFormat="false" ht="15" hidden="false" customHeight="false" outlineLevel="0" collapsed="false">
      <c r="A37" s="29"/>
      <c r="B37" s="28"/>
      <c r="C37" s="28"/>
      <c r="D37" s="29"/>
      <c r="E37" s="38"/>
      <c r="F37" s="38"/>
      <c r="G37" s="39"/>
    </row>
    <row r="38" customFormat="false" ht="15" hidden="false" customHeight="false" outlineLevel="0" collapsed="false">
      <c r="A38" s="29"/>
      <c r="B38" s="28"/>
      <c r="C38" s="28"/>
      <c r="D38" s="29"/>
      <c r="E38" s="38"/>
      <c r="F38" s="38"/>
      <c r="G38" s="39"/>
    </row>
    <row r="39" customFormat="false" ht="15" hidden="false" customHeight="false" outlineLevel="0" collapsed="false">
      <c r="A39" s="29"/>
      <c r="B39" s="28"/>
      <c r="C39" s="28"/>
      <c r="D39" s="29"/>
      <c r="E39" s="38"/>
      <c r="F39" s="38"/>
      <c r="G39" s="39"/>
    </row>
    <row r="40" customFormat="false" ht="15" hidden="false" customHeight="false" outlineLevel="0" collapsed="false">
      <c r="A40" s="29"/>
      <c r="B40" s="28"/>
      <c r="C40" s="28"/>
      <c r="D40" s="29"/>
      <c r="E40" s="38"/>
      <c r="F40" s="38"/>
      <c r="G40" s="39"/>
    </row>
    <row r="41" customFormat="false" ht="15" hidden="false" customHeight="false" outlineLevel="0" collapsed="false">
      <c r="A41" s="29"/>
      <c r="B41" s="28"/>
      <c r="C41" s="28"/>
      <c r="D41" s="29"/>
      <c r="E41" s="38"/>
      <c r="F41" s="38"/>
      <c r="G41" s="39"/>
    </row>
    <row r="42" customFormat="false" ht="15" hidden="false" customHeight="false" outlineLevel="0" collapsed="false">
      <c r="A42" s="29"/>
      <c r="B42" s="28"/>
      <c r="C42" s="28"/>
      <c r="D42" s="29"/>
      <c r="E42" s="38"/>
      <c r="F42" s="38"/>
      <c r="G42" s="39"/>
    </row>
    <row r="43" customFormat="false" ht="15" hidden="false" customHeight="false" outlineLevel="0" collapsed="false">
      <c r="A43" s="29"/>
      <c r="B43" s="28"/>
      <c r="C43" s="28"/>
      <c r="D43" s="29"/>
      <c r="E43" s="38"/>
      <c r="F43" s="38"/>
      <c r="G43" s="39"/>
    </row>
    <row r="45" customFormat="false" ht="15" hidden="false" customHeight="false" outlineLevel="0" collapsed="false">
      <c r="B45" s="7" t="s">
        <v>80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5" t="s">
        <v>81</v>
      </c>
      <c r="B1" s="15"/>
      <c r="C1" s="15"/>
    </row>
    <row r="2" customFormat="false" ht="15.75" hidden="false" customHeight="true" outlineLevel="0" collapsed="false">
      <c r="A2" s="16" t="s">
        <v>82</v>
      </c>
      <c r="B2" s="16"/>
      <c r="C2" s="16"/>
    </row>
    <row r="3" customFormat="false" ht="30" hidden="false" customHeight="true" outlineLevel="0" collapsed="false">
      <c r="A3" s="17" t="s">
        <v>83</v>
      </c>
      <c r="B3" s="17" t="s">
        <v>84</v>
      </c>
      <c r="C3" s="17" t="s">
        <v>85</v>
      </c>
    </row>
    <row r="4" customFormat="false" ht="15" hidden="false" customHeight="false" outlineLevel="0" collapsed="false">
      <c r="A4" s="29" t="s">
        <v>86</v>
      </c>
      <c r="B4" s="28" t="s">
        <v>87</v>
      </c>
      <c r="C4" s="28" t="s">
        <v>88</v>
      </c>
    </row>
    <row r="5" customFormat="false" ht="15" hidden="false" customHeight="false" outlineLevel="0" collapsed="false">
      <c r="A5" s="29" t="s">
        <v>89</v>
      </c>
      <c r="B5" s="28" t="s">
        <v>90</v>
      </c>
      <c r="C5" s="28" t="s">
        <v>91</v>
      </c>
    </row>
    <row r="6" customFormat="false" ht="15" hidden="false" customHeight="false" outlineLevel="0" collapsed="false">
      <c r="A6" s="29" t="s">
        <v>92</v>
      </c>
      <c r="B6" s="28" t="s">
        <v>93</v>
      </c>
      <c r="C6" s="28" t="s">
        <v>94</v>
      </c>
    </row>
    <row r="7" customFormat="false" ht="15" hidden="false" customHeight="false" outlineLevel="0" collapsed="false">
      <c r="A7" s="29" t="s">
        <v>95</v>
      </c>
      <c r="B7" s="28" t="s">
        <v>96</v>
      </c>
      <c r="C7" s="28" t="s">
        <v>97</v>
      </c>
    </row>
    <row r="8" customFormat="false" ht="15" hidden="false" customHeight="false" outlineLevel="0" collapsed="false">
      <c r="A8" s="29" t="s">
        <v>98</v>
      </c>
      <c r="B8" s="28" t="s">
        <v>99</v>
      </c>
      <c r="C8" s="28" t="s">
        <v>100</v>
      </c>
    </row>
    <row r="9" customFormat="false" ht="15" hidden="false" customHeight="false" outlineLevel="0" collapsed="false">
      <c r="A9" s="29" t="s">
        <v>101</v>
      </c>
      <c r="B9" s="28" t="s">
        <v>102</v>
      </c>
      <c r="C9" s="28" t="s">
        <v>103</v>
      </c>
    </row>
    <row r="10" customFormat="false" ht="15" hidden="false" customHeight="false" outlineLevel="0" collapsed="false">
      <c r="A10" s="29" t="s">
        <v>104</v>
      </c>
      <c r="B10" s="28" t="s">
        <v>87</v>
      </c>
      <c r="C10" s="28" t="s">
        <v>105</v>
      </c>
    </row>
    <row r="11" customFormat="false" ht="15" hidden="false" customHeight="false" outlineLevel="0" collapsed="false">
      <c r="A11" s="29" t="s">
        <v>106</v>
      </c>
      <c r="B11" s="28" t="s">
        <v>87</v>
      </c>
      <c r="C11" s="28" t="s">
        <v>107</v>
      </c>
    </row>
    <row r="12" customFormat="false" ht="15" hidden="false" customHeight="false" outlineLevel="0" collapsed="false">
      <c r="A12" s="29" t="s">
        <v>108</v>
      </c>
      <c r="B12" s="28" t="s">
        <v>109</v>
      </c>
      <c r="C12" s="28" t="s">
        <v>110</v>
      </c>
    </row>
    <row r="13" customFormat="false" ht="15" hidden="false" customHeight="false" outlineLevel="0" collapsed="false">
      <c r="A13" s="29"/>
      <c r="B13" s="28"/>
      <c r="C13" s="28"/>
    </row>
    <row r="14" customFormat="false" ht="15" hidden="false" customHeight="false" outlineLevel="0" collapsed="false">
      <c r="A14" s="29"/>
      <c r="B14" s="28"/>
      <c r="C14" s="28"/>
    </row>
    <row r="15" customFormat="false" ht="15" hidden="false" customHeight="false" outlineLevel="0" collapsed="false">
      <c r="A15" s="29"/>
      <c r="B15" s="28"/>
      <c r="C15" s="28"/>
    </row>
    <row r="16" customFormat="false" ht="15" hidden="false" customHeight="false" outlineLevel="0" collapsed="false">
      <c r="A16" s="29"/>
      <c r="B16" s="28"/>
      <c r="C16" s="28"/>
    </row>
    <row r="17" customFormat="false" ht="15" hidden="false" customHeight="false" outlineLevel="0" collapsed="false">
      <c r="A17" s="29"/>
      <c r="B17" s="28"/>
      <c r="C17" s="28"/>
    </row>
    <row r="18" customFormat="false" ht="15" hidden="false" customHeight="false" outlineLevel="0" collapsed="false">
      <c r="A18" s="29"/>
      <c r="B18" s="28"/>
      <c r="C18" s="28"/>
    </row>
    <row r="19" customFormat="false" ht="15" hidden="false" customHeight="false" outlineLevel="0" collapsed="false">
      <c r="A19" s="29"/>
      <c r="B19" s="28"/>
      <c r="C19" s="28"/>
    </row>
    <row r="20" customFormat="false" ht="15" hidden="false" customHeight="false" outlineLevel="0" collapsed="false">
      <c r="A20" s="29"/>
      <c r="B20" s="28"/>
      <c r="C20" s="28"/>
    </row>
    <row r="21" customFormat="false" ht="15" hidden="false" customHeight="false" outlineLevel="0" collapsed="false">
      <c r="A21" s="29"/>
      <c r="B21" s="28"/>
      <c r="C21" s="28"/>
    </row>
    <row r="22" customFormat="false" ht="15" hidden="false" customHeight="false" outlineLevel="0" collapsed="false">
      <c r="A22" s="29"/>
      <c r="B22" s="28"/>
      <c r="C22" s="28"/>
    </row>
    <row r="23" customFormat="false" ht="15" hidden="false" customHeight="false" outlineLevel="0" collapsed="false">
      <c r="A23" s="29"/>
      <c r="B23" s="28"/>
      <c r="C23" s="28"/>
    </row>
    <row r="24" customFormat="false" ht="15" hidden="false" customHeight="false" outlineLevel="0" collapsed="false">
      <c r="A24" s="29"/>
      <c r="B24" s="28"/>
      <c r="C24" s="28"/>
    </row>
    <row r="25" customFormat="false" ht="15" hidden="false" customHeight="false" outlineLevel="0" collapsed="false">
      <c r="A25" s="29"/>
      <c r="B25" s="28"/>
      <c r="C25" s="28"/>
    </row>
    <row r="26" customFormat="false" ht="15" hidden="false" customHeight="false" outlineLevel="0" collapsed="false">
      <c r="A26" s="29"/>
      <c r="B26" s="28"/>
      <c r="C26" s="28"/>
    </row>
    <row r="27" customFormat="false" ht="15" hidden="false" customHeight="false" outlineLevel="0" collapsed="false">
      <c r="A27" s="29"/>
      <c r="B27" s="28"/>
      <c r="C27" s="28"/>
    </row>
    <row r="28" customFormat="false" ht="15" hidden="false" customHeight="false" outlineLevel="0" collapsed="false">
      <c r="A28" s="29"/>
      <c r="B28" s="28"/>
      <c r="C28" s="28"/>
    </row>
    <row r="30" customFormat="false" ht="15" hidden="false" customHeight="false" outlineLevel="0" collapsed="false">
      <c r="B30" s="7" t="s">
        <v>111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5" t="s">
        <v>112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.75" hidden="false" customHeight="true" outlineLevel="0" collapsed="false">
      <c r="A2" s="16" t="s">
        <v>113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30" hidden="false" customHeight="true" outlineLevel="0" collapsed="false">
      <c r="A3" s="17" t="s">
        <v>56</v>
      </c>
      <c r="B3" s="17" t="s">
        <v>57</v>
      </c>
      <c r="C3" s="17" t="s">
        <v>58</v>
      </c>
      <c r="D3" s="17" t="s">
        <v>114</v>
      </c>
      <c r="E3" s="17" t="s">
        <v>42</v>
      </c>
      <c r="F3" s="17" t="s">
        <v>45</v>
      </c>
      <c r="G3" s="17" t="s">
        <v>46</v>
      </c>
      <c r="H3" s="17" t="s">
        <v>115</v>
      </c>
      <c r="I3" s="17" t="s">
        <v>116</v>
      </c>
      <c r="J3" s="17" t="s">
        <v>31</v>
      </c>
      <c r="K3" s="17" t="s">
        <v>117</v>
      </c>
    </row>
    <row r="4" customFormat="false" ht="15" hidden="false" customHeight="false" outlineLevel="0" collapsed="false">
      <c r="A4" s="23" t="str">
        <f aca="false">IF(Projects!$C$4="","",Projects!$A$4)</f>
        <v>25-014</v>
      </c>
      <c r="B4" s="40" t="str">
        <f aca="false">IF(Projects!$C$4="","",Projects!$B$4)</f>
        <v>Acme Powersports</v>
      </c>
      <c r="C4" s="40" t="str">
        <f aca="false">IF(Projects!$C$4="","",Projects!$C$4)</f>
        <v>Handlebar Control Module Redesign</v>
      </c>
      <c r="D4" s="41" t="n">
        <f aca="false">IF(Projects!$C$4="","",Projects!$G$4)</f>
        <v>85000</v>
      </c>
      <c r="E4" s="42" t="n">
        <f aca="false">IF(Projects!$C$4="","",SUMIFS('Time Entry'!$G$4:$G$1003,'Time Entry'!$E$4:$E$1003,Projects!$C$4))</f>
        <v>6.5</v>
      </c>
      <c r="F4" s="41" t="n">
        <f aca="false">IF(Projects!$C$4="","",SUMIFS('Time Entry'!$J$4:$J$1003,'Time Entry'!$E$4:$E$1003,Projects!$C$4))</f>
        <v>942.5</v>
      </c>
      <c r="G4" s="41" t="n">
        <f aca="false">IF(Projects!$C$4="","",SUMIFS('Time Entry'!$K$4:$K$1003,'Time Entry'!$E$4:$E$1003,Projects!$C$4))</f>
        <v>442</v>
      </c>
      <c r="H4" s="41" t="n">
        <f aca="false">IF(Projects!$C$4="","",F4-G4)</f>
        <v>500.5</v>
      </c>
      <c r="I4" s="41" t="n">
        <f aca="false">IF(Projects!$C$4="","",SUMIFS(Invoices!$G$4:$G$203,Invoices!$D$4:$D$203,Projects!$C$4))</f>
        <v>900</v>
      </c>
      <c r="J4" s="41" t="n">
        <f aca="false">IF(Projects!$C$4="","",F4-I4)</f>
        <v>42.5</v>
      </c>
      <c r="K4" s="43" t="n">
        <f aca="false">IF(OR(Projects!$C$4="",Projects!$G$4=0,Projects!$G$4=""),"",F4/Projects!$G$4)</f>
        <v>0.0110882352941176</v>
      </c>
    </row>
    <row r="5" customFormat="false" ht="15" hidden="false" customHeight="false" outlineLevel="0" collapsed="false">
      <c r="A5" s="31" t="str">
        <f aca="false">IF(Projects!$C$5="","",Projects!$A$5)</f>
        <v/>
      </c>
      <c r="B5" s="44" t="str">
        <f aca="false">IF(Projects!$C$5="","",Projects!$B$5)</f>
        <v/>
      </c>
      <c r="C5" s="44" t="str">
        <f aca="false">IF(Projects!$C$5="","",Projects!$C$5)</f>
        <v/>
      </c>
      <c r="D5" s="45" t="str">
        <f aca="false">IF(Projects!$C$5="","",Projects!$G$5)</f>
        <v/>
      </c>
      <c r="E5" s="46" t="str">
        <f aca="false">IF(Projects!$C$5="","",SUMIFS('Time Entry'!$G$4:$G$1003,'Time Entry'!$E$4:$E$1003,Projects!$C$5))</f>
        <v/>
      </c>
      <c r="F5" s="45" t="str">
        <f aca="false">IF(Projects!$C$5="","",SUMIFS('Time Entry'!$J$4:$J$1003,'Time Entry'!$E$4:$E$1003,Projects!$C$5))</f>
        <v/>
      </c>
      <c r="G5" s="45" t="str">
        <f aca="false">IF(Projects!$C$5="","",SUMIFS('Time Entry'!$K$4:$K$1003,'Time Entry'!$E$4:$E$1003,Projects!$C$5))</f>
        <v/>
      </c>
      <c r="H5" s="45" t="str">
        <f aca="false">IF(Projects!$C$5="","",F5-G5)</f>
        <v/>
      </c>
      <c r="I5" s="45" t="str">
        <f aca="false">IF(Projects!$C$5="","",SUMIFS(Invoices!$G$4:$G$203,Invoices!$D$4:$D$203,Projects!$C$5))</f>
        <v/>
      </c>
      <c r="J5" s="45" t="str">
        <f aca="false">IF(Projects!$C$5="","",F5-I5)</f>
        <v/>
      </c>
      <c r="K5" s="47" t="str">
        <f aca="false">IF(OR(Projects!$C$5="",Projects!$G$5=0,Projects!$G$5=""),"",F5/Projects!$G$5)</f>
        <v/>
      </c>
    </row>
    <row r="6" customFormat="false" ht="15" hidden="false" customHeight="false" outlineLevel="0" collapsed="false">
      <c r="A6" s="23" t="str">
        <f aca="false">IF(Projects!$C$6="","",Projects!$A$6)</f>
        <v/>
      </c>
      <c r="B6" s="40" t="str">
        <f aca="false">IF(Projects!$C$6="","",Projects!$B$6)</f>
        <v/>
      </c>
      <c r="C6" s="40" t="str">
        <f aca="false">IF(Projects!$C$6="","",Projects!$C$6)</f>
        <v/>
      </c>
      <c r="D6" s="41" t="str">
        <f aca="false">IF(Projects!$C$6="","",Projects!$G$6)</f>
        <v/>
      </c>
      <c r="E6" s="42" t="str">
        <f aca="false">IF(Projects!$C$6="","",SUMIFS('Time Entry'!$G$4:$G$1003,'Time Entry'!$E$4:$E$1003,Projects!$C$6))</f>
        <v/>
      </c>
      <c r="F6" s="41" t="str">
        <f aca="false">IF(Projects!$C$6="","",SUMIFS('Time Entry'!$J$4:$J$1003,'Time Entry'!$E$4:$E$1003,Projects!$C$6))</f>
        <v/>
      </c>
      <c r="G6" s="41" t="str">
        <f aca="false">IF(Projects!$C$6="","",SUMIFS('Time Entry'!$K$4:$K$1003,'Time Entry'!$E$4:$E$1003,Projects!$C$6))</f>
        <v/>
      </c>
      <c r="H6" s="41" t="str">
        <f aca="false">IF(Projects!$C$6="","",F6-G6)</f>
        <v/>
      </c>
      <c r="I6" s="41" t="str">
        <f aca="false">IF(Projects!$C$6="","",SUMIFS(Invoices!$G$4:$G$203,Invoices!$D$4:$D$203,Projects!$C$6))</f>
        <v/>
      </c>
      <c r="J6" s="41" t="str">
        <f aca="false">IF(Projects!$C$6="","",F6-I6)</f>
        <v/>
      </c>
      <c r="K6" s="43" t="str">
        <f aca="false">IF(OR(Projects!$C$6="",Projects!$G$6=0,Projects!$G$6=""),"",F6/Projects!$G$6)</f>
        <v/>
      </c>
    </row>
    <row r="7" customFormat="false" ht="15" hidden="false" customHeight="false" outlineLevel="0" collapsed="false">
      <c r="A7" s="31" t="str">
        <f aca="false">IF(Projects!$C$7="","",Projects!$A$7)</f>
        <v/>
      </c>
      <c r="B7" s="44" t="str">
        <f aca="false">IF(Projects!$C$7="","",Projects!$B$7)</f>
        <v/>
      </c>
      <c r="C7" s="44" t="str">
        <f aca="false">IF(Projects!$C$7="","",Projects!$C$7)</f>
        <v/>
      </c>
      <c r="D7" s="45" t="str">
        <f aca="false">IF(Projects!$C$7="","",Projects!$G$7)</f>
        <v/>
      </c>
      <c r="E7" s="46" t="str">
        <f aca="false">IF(Projects!$C$7="","",SUMIFS('Time Entry'!$G$4:$G$1003,'Time Entry'!$E$4:$E$1003,Projects!$C$7))</f>
        <v/>
      </c>
      <c r="F7" s="45" t="str">
        <f aca="false">IF(Projects!$C$7="","",SUMIFS('Time Entry'!$J$4:$J$1003,'Time Entry'!$E$4:$E$1003,Projects!$C$7))</f>
        <v/>
      </c>
      <c r="G7" s="45" t="str">
        <f aca="false">IF(Projects!$C$7="","",SUMIFS('Time Entry'!$K$4:$K$1003,'Time Entry'!$E$4:$E$1003,Projects!$C$7))</f>
        <v/>
      </c>
      <c r="H7" s="45" t="str">
        <f aca="false">IF(Projects!$C$7="","",F7-G7)</f>
        <v/>
      </c>
      <c r="I7" s="45" t="str">
        <f aca="false">IF(Projects!$C$7="","",SUMIFS(Invoices!$G$4:$G$203,Invoices!$D$4:$D$203,Projects!$C$7))</f>
        <v/>
      </c>
      <c r="J7" s="45" t="str">
        <f aca="false">IF(Projects!$C$7="","",F7-I7)</f>
        <v/>
      </c>
      <c r="K7" s="47" t="str">
        <f aca="false">IF(OR(Projects!$C$7="",Projects!$G$7=0,Projects!$G$7=""),"",F7/Projects!$G$7)</f>
        <v/>
      </c>
    </row>
    <row r="8" customFormat="false" ht="15" hidden="false" customHeight="false" outlineLevel="0" collapsed="false">
      <c r="A8" s="23" t="str">
        <f aca="false">IF(Projects!$C$8="","",Projects!$A$8)</f>
        <v/>
      </c>
      <c r="B8" s="40" t="str">
        <f aca="false">IF(Projects!$C$8="","",Projects!$B$8)</f>
        <v/>
      </c>
      <c r="C8" s="40" t="str">
        <f aca="false">IF(Projects!$C$8="","",Projects!$C$8)</f>
        <v/>
      </c>
      <c r="D8" s="41" t="str">
        <f aca="false">IF(Projects!$C$8="","",Projects!$G$8)</f>
        <v/>
      </c>
      <c r="E8" s="42" t="str">
        <f aca="false">IF(Projects!$C$8="","",SUMIFS('Time Entry'!$G$4:$G$1003,'Time Entry'!$E$4:$E$1003,Projects!$C$8))</f>
        <v/>
      </c>
      <c r="F8" s="41" t="str">
        <f aca="false">IF(Projects!$C$8="","",SUMIFS('Time Entry'!$J$4:$J$1003,'Time Entry'!$E$4:$E$1003,Projects!$C$8))</f>
        <v/>
      </c>
      <c r="G8" s="41" t="str">
        <f aca="false">IF(Projects!$C$8="","",SUMIFS('Time Entry'!$K$4:$K$1003,'Time Entry'!$E$4:$E$1003,Projects!$C$8))</f>
        <v/>
      </c>
      <c r="H8" s="41" t="str">
        <f aca="false">IF(Projects!$C$8="","",F8-G8)</f>
        <v/>
      </c>
      <c r="I8" s="41" t="str">
        <f aca="false">IF(Projects!$C$8="","",SUMIFS(Invoices!$G$4:$G$203,Invoices!$D$4:$D$203,Projects!$C$8))</f>
        <v/>
      </c>
      <c r="J8" s="41" t="str">
        <f aca="false">IF(Projects!$C$8="","",F8-I8)</f>
        <v/>
      </c>
      <c r="K8" s="43" t="str">
        <f aca="false">IF(OR(Projects!$C$8="",Projects!$G$8=0,Projects!$G$8=""),"",F8/Projects!$G$8)</f>
        <v/>
      </c>
    </row>
    <row r="9" customFormat="false" ht="15" hidden="false" customHeight="false" outlineLevel="0" collapsed="false">
      <c r="A9" s="31" t="str">
        <f aca="false">IF(Projects!$C$9="","",Projects!$A$9)</f>
        <v/>
      </c>
      <c r="B9" s="44" t="str">
        <f aca="false">IF(Projects!$C$9="","",Projects!$B$9)</f>
        <v/>
      </c>
      <c r="C9" s="44" t="str">
        <f aca="false">IF(Projects!$C$9="","",Projects!$C$9)</f>
        <v/>
      </c>
      <c r="D9" s="45" t="str">
        <f aca="false">IF(Projects!$C$9="","",Projects!$G$9)</f>
        <v/>
      </c>
      <c r="E9" s="46" t="str">
        <f aca="false">IF(Projects!$C$9="","",SUMIFS('Time Entry'!$G$4:$G$1003,'Time Entry'!$E$4:$E$1003,Projects!$C$9))</f>
        <v/>
      </c>
      <c r="F9" s="45" t="str">
        <f aca="false">IF(Projects!$C$9="","",SUMIFS('Time Entry'!$J$4:$J$1003,'Time Entry'!$E$4:$E$1003,Projects!$C$9))</f>
        <v/>
      </c>
      <c r="G9" s="45" t="str">
        <f aca="false">IF(Projects!$C$9="","",SUMIFS('Time Entry'!$K$4:$K$1003,'Time Entry'!$E$4:$E$1003,Projects!$C$9))</f>
        <v/>
      </c>
      <c r="H9" s="45" t="str">
        <f aca="false">IF(Projects!$C$9="","",F9-G9)</f>
        <v/>
      </c>
      <c r="I9" s="45" t="str">
        <f aca="false">IF(Projects!$C$9="","",SUMIFS(Invoices!$G$4:$G$203,Invoices!$D$4:$D$203,Projects!$C$9))</f>
        <v/>
      </c>
      <c r="J9" s="45" t="str">
        <f aca="false">IF(Projects!$C$9="","",F9-I9)</f>
        <v/>
      </c>
      <c r="K9" s="47" t="str">
        <f aca="false">IF(OR(Projects!$C$9="",Projects!$G$9=0,Projects!$G$9=""),"",F9/Projects!$G$9)</f>
        <v/>
      </c>
    </row>
    <row r="10" customFormat="false" ht="15" hidden="false" customHeight="false" outlineLevel="0" collapsed="false">
      <c r="A10" s="23" t="str">
        <f aca="false">IF(Projects!$C$10="","",Projects!$A$10)</f>
        <v/>
      </c>
      <c r="B10" s="40" t="str">
        <f aca="false">IF(Projects!$C$10="","",Projects!$B$10)</f>
        <v/>
      </c>
      <c r="C10" s="40" t="str">
        <f aca="false">IF(Projects!$C$10="","",Projects!$C$10)</f>
        <v/>
      </c>
      <c r="D10" s="41" t="str">
        <f aca="false">IF(Projects!$C$10="","",Projects!$G$10)</f>
        <v/>
      </c>
      <c r="E10" s="42" t="str">
        <f aca="false">IF(Projects!$C$10="","",SUMIFS('Time Entry'!$G$4:$G$1003,'Time Entry'!$E$4:$E$1003,Projects!$C$10))</f>
        <v/>
      </c>
      <c r="F10" s="41" t="str">
        <f aca="false">IF(Projects!$C$10="","",SUMIFS('Time Entry'!$J$4:$J$1003,'Time Entry'!$E$4:$E$1003,Projects!$C$10))</f>
        <v/>
      </c>
      <c r="G10" s="41" t="str">
        <f aca="false">IF(Projects!$C$10="","",SUMIFS('Time Entry'!$K$4:$K$1003,'Time Entry'!$E$4:$E$1003,Projects!$C$10))</f>
        <v/>
      </c>
      <c r="H10" s="41" t="str">
        <f aca="false">IF(Projects!$C$10="","",F10-G10)</f>
        <v/>
      </c>
      <c r="I10" s="41" t="str">
        <f aca="false">IF(Projects!$C$10="","",SUMIFS(Invoices!$G$4:$G$203,Invoices!$D$4:$D$203,Projects!$C$10))</f>
        <v/>
      </c>
      <c r="J10" s="41" t="str">
        <f aca="false">IF(Projects!$C$10="","",F10-I10)</f>
        <v/>
      </c>
      <c r="K10" s="43" t="str">
        <f aca="false">IF(OR(Projects!$C$10="",Projects!$G$10=0,Projects!$G$10=""),"",F10/Projects!$G$10)</f>
        <v/>
      </c>
    </row>
    <row r="11" customFormat="false" ht="15" hidden="false" customHeight="false" outlineLevel="0" collapsed="false">
      <c r="A11" s="31" t="str">
        <f aca="false">IF(Projects!$C$11="","",Projects!$A$11)</f>
        <v/>
      </c>
      <c r="B11" s="44" t="str">
        <f aca="false">IF(Projects!$C$11="","",Projects!$B$11)</f>
        <v/>
      </c>
      <c r="C11" s="44" t="str">
        <f aca="false">IF(Projects!$C$11="","",Projects!$C$11)</f>
        <v/>
      </c>
      <c r="D11" s="45" t="str">
        <f aca="false">IF(Projects!$C$11="","",Projects!$G$11)</f>
        <v/>
      </c>
      <c r="E11" s="46" t="str">
        <f aca="false">IF(Projects!$C$11="","",SUMIFS('Time Entry'!$G$4:$G$1003,'Time Entry'!$E$4:$E$1003,Projects!$C$11))</f>
        <v/>
      </c>
      <c r="F11" s="45" t="str">
        <f aca="false">IF(Projects!$C$11="","",SUMIFS('Time Entry'!$J$4:$J$1003,'Time Entry'!$E$4:$E$1003,Projects!$C$11))</f>
        <v/>
      </c>
      <c r="G11" s="45" t="str">
        <f aca="false">IF(Projects!$C$11="","",SUMIFS('Time Entry'!$K$4:$K$1003,'Time Entry'!$E$4:$E$1003,Projects!$C$11))</f>
        <v/>
      </c>
      <c r="H11" s="45" t="str">
        <f aca="false">IF(Projects!$C$11="","",F11-G11)</f>
        <v/>
      </c>
      <c r="I11" s="45" t="str">
        <f aca="false">IF(Projects!$C$11="","",SUMIFS(Invoices!$G$4:$G$203,Invoices!$D$4:$D$203,Projects!$C$11))</f>
        <v/>
      </c>
      <c r="J11" s="45" t="str">
        <f aca="false">IF(Projects!$C$11="","",F11-I11)</f>
        <v/>
      </c>
      <c r="K11" s="47" t="str">
        <f aca="false">IF(OR(Projects!$C$11="",Projects!$G$11=0,Projects!$G$11=""),"",F11/Projects!$G$11)</f>
        <v/>
      </c>
    </row>
    <row r="12" customFormat="false" ht="15" hidden="false" customHeight="false" outlineLevel="0" collapsed="false">
      <c r="A12" s="23" t="str">
        <f aca="false">IF(Projects!$C$12="","",Projects!$A$12)</f>
        <v/>
      </c>
      <c r="B12" s="40" t="str">
        <f aca="false">IF(Projects!$C$12="","",Projects!$B$12)</f>
        <v/>
      </c>
      <c r="C12" s="40" t="str">
        <f aca="false">IF(Projects!$C$12="","",Projects!$C$12)</f>
        <v/>
      </c>
      <c r="D12" s="41" t="str">
        <f aca="false">IF(Projects!$C$12="","",Projects!$G$12)</f>
        <v/>
      </c>
      <c r="E12" s="42" t="str">
        <f aca="false">IF(Projects!$C$12="","",SUMIFS('Time Entry'!$G$4:$G$1003,'Time Entry'!$E$4:$E$1003,Projects!$C$12))</f>
        <v/>
      </c>
      <c r="F12" s="41" t="str">
        <f aca="false">IF(Projects!$C$12="","",SUMIFS('Time Entry'!$J$4:$J$1003,'Time Entry'!$E$4:$E$1003,Projects!$C$12))</f>
        <v/>
      </c>
      <c r="G12" s="41" t="str">
        <f aca="false">IF(Projects!$C$12="","",SUMIFS('Time Entry'!$K$4:$K$1003,'Time Entry'!$E$4:$E$1003,Projects!$C$12))</f>
        <v/>
      </c>
      <c r="H12" s="41" t="str">
        <f aca="false">IF(Projects!$C$12="","",F12-G12)</f>
        <v/>
      </c>
      <c r="I12" s="41" t="str">
        <f aca="false">IF(Projects!$C$12="","",SUMIFS(Invoices!$G$4:$G$203,Invoices!$D$4:$D$203,Projects!$C$12))</f>
        <v/>
      </c>
      <c r="J12" s="41" t="str">
        <f aca="false">IF(Projects!$C$12="","",F12-I12)</f>
        <v/>
      </c>
      <c r="K12" s="43" t="str">
        <f aca="false">IF(OR(Projects!$C$12="",Projects!$G$12=0,Projects!$G$12=""),"",F12/Projects!$G$12)</f>
        <v/>
      </c>
    </row>
    <row r="13" customFormat="false" ht="15" hidden="false" customHeight="false" outlineLevel="0" collapsed="false">
      <c r="A13" s="31" t="str">
        <f aca="false">IF(Projects!$C$13="","",Projects!$A$13)</f>
        <v/>
      </c>
      <c r="B13" s="44" t="str">
        <f aca="false">IF(Projects!$C$13="","",Projects!$B$13)</f>
        <v/>
      </c>
      <c r="C13" s="44" t="str">
        <f aca="false">IF(Projects!$C$13="","",Projects!$C$13)</f>
        <v/>
      </c>
      <c r="D13" s="45" t="str">
        <f aca="false">IF(Projects!$C$13="","",Projects!$G$13)</f>
        <v/>
      </c>
      <c r="E13" s="46" t="str">
        <f aca="false">IF(Projects!$C$13="","",SUMIFS('Time Entry'!$G$4:$G$1003,'Time Entry'!$E$4:$E$1003,Projects!$C$13))</f>
        <v/>
      </c>
      <c r="F13" s="45" t="str">
        <f aca="false">IF(Projects!$C$13="","",SUMIFS('Time Entry'!$J$4:$J$1003,'Time Entry'!$E$4:$E$1003,Projects!$C$13))</f>
        <v/>
      </c>
      <c r="G13" s="45" t="str">
        <f aca="false">IF(Projects!$C$13="","",SUMIFS('Time Entry'!$K$4:$K$1003,'Time Entry'!$E$4:$E$1003,Projects!$C$13))</f>
        <v/>
      </c>
      <c r="H13" s="45" t="str">
        <f aca="false">IF(Projects!$C$13="","",F13-G13)</f>
        <v/>
      </c>
      <c r="I13" s="45" t="str">
        <f aca="false">IF(Projects!$C$13="","",SUMIFS(Invoices!$G$4:$G$203,Invoices!$D$4:$D$203,Projects!$C$13))</f>
        <v/>
      </c>
      <c r="J13" s="45" t="str">
        <f aca="false">IF(Projects!$C$13="","",F13-I13)</f>
        <v/>
      </c>
      <c r="K13" s="47" t="str">
        <f aca="false">IF(OR(Projects!$C$13="",Projects!$G$13=0,Projects!$G$13=""),"",F13/Projects!$G$13)</f>
        <v/>
      </c>
    </row>
    <row r="14" customFormat="false" ht="15" hidden="false" customHeight="false" outlineLevel="0" collapsed="false">
      <c r="A14" s="23" t="str">
        <f aca="false">IF(Projects!$C$14="","",Projects!$A$14)</f>
        <v/>
      </c>
      <c r="B14" s="40" t="str">
        <f aca="false">IF(Projects!$C$14="","",Projects!$B$14)</f>
        <v/>
      </c>
      <c r="C14" s="40" t="str">
        <f aca="false">IF(Projects!$C$14="","",Projects!$C$14)</f>
        <v/>
      </c>
      <c r="D14" s="41" t="str">
        <f aca="false">IF(Projects!$C$14="","",Projects!$G$14)</f>
        <v/>
      </c>
      <c r="E14" s="42" t="str">
        <f aca="false">IF(Projects!$C$14="","",SUMIFS('Time Entry'!$G$4:$G$1003,'Time Entry'!$E$4:$E$1003,Projects!$C$14))</f>
        <v/>
      </c>
      <c r="F14" s="41" t="str">
        <f aca="false">IF(Projects!$C$14="","",SUMIFS('Time Entry'!$J$4:$J$1003,'Time Entry'!$E$4:$E$1003,Projects!$C$14))</f>
        <v/>
      </c>
      <c r="G14" s="41" t="str">
        <f aca="false">IF(Projects!$C$14="","",SUMIFS('Time Entry'!$K$4:$K$1003,'Time Entry'!$E$4:$E$1003,Projects!$C$14))</f>
        <v/>
      </c>
      <c r="H14" s="41" t="str">
        <f aca="false">IF(Projects!$C$14="","",F14-G14)</f>
        <v/>
      </c>
      <c r="I14" s="41" t="str">
        <f aca="false">IF(Projects!$C$14="","",SUMIFS(Invoices!$G$4:$G$203,Invoices!$D$4:$D$203,Projects!$C$14))</f>
        <v/>
      </c>
      <c r="J14" s="41" t="str">
        <f aca="false">IF(Projects!$C$14="","",F14-I14)</f>
        <v/>
      </c>
      <c r="K14" s="43" t="str">
        <f aca="false">IF(OR(Projects!$C$14="",Projects!$G$14=0,Projects!$G$14=""),"",F14/Projects!$G$14)</f>
        <v/>
      </c>
    </row>
    <row r="15" customFormat="false" ht="15" hidden="false" customHeight="false" outlineLevel="0" collapsed="false">
      <c r="A15" s="31" t="str">
        <f aca="false">IF(Projects!$C$15="","",Projects!$A$15)</f>
        <v/>
      </c>
      <c r="B15" s="44" t="str">
        <f aca="false">IF(Projects!$C$15="","",Projects!$B$15)</f>
        <v/>
      </c>
      <c r="C15" s="44" t="str">
        <f aca="false">IF(Projects!$C$15="","",Projects!$C$15)</f>
        <v/>
      </c>
      <c r="D15" s="45" t="str">
        <f aca="false">IF(Projects!$C$15="","",Projects!$G$15)</f>
        <v/>
      </c>
      <c r="E15" s="46" t="str">
        <f aca="false">IF(Projects!$C$15="","",SUMIFS('Time Entry'!$G$4:$G$1003,'Time Entry'!$E$4:$E$1003,Projects!$C$15))</f>
        <v/>
      </c>
      <c r="F15" s="45" t="str">
        <f aca="false">IF(Projects!$C$15="","",SUMIFS('Time Entry'!$J$4:$J$1003,'Time Entry'!$E$4:$E$1003,Projects!$C$15))</f>
        <v/>
      </c>
      <c r="G15" s="45" t="str">
        <f aca="false">IF(Projects!$C$15="","",SUMIFS('Time Entry'!$K$4:$K$1003,'Time Entry'!$E$4:$E$1003,Projects!$C$15))</f>
        <v/>
      </c>
      <c r="H15" s="45" t="str">
        <f aca="false">IF(Projects!$C$15="","",F15-G15)</f>
        <v/>
      </c>
      <c r="I15" s="45" t="str">
        <f aca="false">IF(Projects!$C$15="","",SUMIFS(Invoices!$G$4:$G$203,Invoices!$D$4:$D$203,Projects!$C$15))</f>
        <v/>
      </c>
      <c r="J15" s="45" t="str">
        <f aca="false">IF(Projects!$C$15="","",F15-I15)</f>
        <v/>
      </c>
      <c r="K15" s="47" t="str">
        <f aca="false">IF(OR(Projects!$C$15="",Projects!$G$15=0,Projects!$G$15=""),"",F15/Projects!$G$15)</f>
        <v/>
      </c>
    </row>
    <row r="16" customFormat="false" ht="15" hidden="false" customHeight="false" outlineLevel="0" collapsed="false">
      <c r="A16" s="23" t="str">
        <f aca="false">IF(Projects!$C$16="","",Projects!$A$16)</f>
        <v/>
      </c>
      <c r="B16" s="40" t="str">
        <f aca="false">IF(Projects!$C$16="","",Projects!$B$16)</f>
        <v/>
      </c>
      <c r="C16" s="40" t="str">
        <f aca="false">IF(Projects!$C$16="","",Projects!$C$16)</f>
        <v/>
      </c>
      <c r="D16" s="41" t="str">
        <f aca="false">IF(Projects!$C$16="","",Projects!$G$16)</f>
        <v/>
      </c>
      <c r="E16" s="42" t="str">
        <f aca="false">IF(Projects!$C$16="","",SUMIFS('Time Entry'!$G$4:$G$1003,'Time Entry'!$E$4:$E$1003,Projects!$C$16))</f>
        <v/>
      </c>
      <c r="F16" s="41" t="str">
        <f aca="false">IF(Projects!$C$16="","",SUMIFS('Time Entry'!$J$4:$J$1003,'Time Entry'!$E$4:$E$1003,Projects!$C$16))</f>
        <v/>
      </c>
      <c r="G16" s="41" t="str">
        <f aca="false">IF(Projects!$C$16="","",SUMIFS('Time Entry'!$K$4:$K$1003,'Time Entry'!$E$4:$E$1003,Projects!$C$16))</f>
        <v/>
      </c>
      <c r="H16" s="41" t="str">
        <f aca="false">IF(Projects!$C$16="","",F16-G16)</f>
        <v/>
      </c>
      <c r="I16" s="41" t="str">
        <f aca="false">IF(Projects!$C$16="","",SUMIFS(Invoices!$G$4:$G$203,Invoices!$D$4:$D$203,Projects!$C$16))</f>
        <v/>
      </c>
      <c r="J16" s="41" t="str">
        <f aca="false">IF(Projects!$C$16="","",F16-I16)</f>
        <v/>
      </c>
      <c r="K16" s="43" t="str">
        <f aca="false">IF(OR(Projects!$C$16="",Projects!$G$16=0,Projects!$G$16=""),"",F16/Projects!$G$16)</f>
        <v/>
      </c>
    </row>
    <row r="17" customFormat="false" ht="15" hidden="false" customHeight="false" outlineLevel="0" collapsed="false">
      <c r="A17" s="31" t="str">
        <f aca="false">IF(Projects!$C$17="","",Projects!$A$17)</f>
        <v/>
      </c>
      <c r="B17" s="44" t="str">
        <f aca="false">IF(Projects!$C$17="","",Projects!$B$17)</f>
        <v/>
      </c>
      <c r="C17" s="44" t="str">
        <f aca="false">IF(Projects!$C$17="","",Projects!$C$17)</f>
        <v/>
      </c>
      <c r="D17" s="45" t="str">
        <f aca="false">IF(Projects!$C$17="","",Projects!$G$17)</f>
        <v/>
      </c>
      <c r="E17" s="46" t="str">
        <f aca="false">IF(Projects!$C$17="","",SUMIFS('Time Entry'!$G$4:$G$1003,'Time Entry'!$E$4:$E$1003,Projects!$C$17))</f>
        <v/>
      </c>
      <c r="F17" s="45" t="str">
        <f aca="false">IF(Projects!$C$17="","",SUMIFS('Time Entry'!$J$4:$J$1003,'Time Entry'!$E$4:$E$1003,Projects!$C$17))</f>
        <v/>
      </c>
      <c r="G17" s="45" t="str">
        <f aca="false">IF(Projects!$C$17="","",SUMIFS('Time Entry'!$K$4:$K$1003,'Time Entry'!$E$4:$E$1003,Projects!$C$17))</f>
        <v/>
      </c>
      <c r="H17" s="45" t="str">
        <f aca="false">IF(Projects!$C$17="","",F17-G17)</f>
        <v/>
      </c>
      <c r="I17" s="45" t="str">
        <f aca="false">IF(Projects!$C$17="","",SUMIFS(Invoices!$G$4:$G$203,Invoices!$D$4:$D$203,Projects!$C$17))</f>
        <v/>
      </c>
      <c r="J17" s="45" t="str">
        <f aca="false">IF(Projects!$C$17="","",F17-I17)</f>
        <v/>
      </c>
      <c r="K17" s="47" t="str">
        <f aca="false">IF(OR(Projects!$C$17="",Projects!$G$17=0,Projects!$G$17=""),"",F17/Projects!$G$17)</f>
        <v/>
      </c>
    </row>
    <row r="18" customFormat="false" ht="15" hidden="false" customHeight="false" outlineLevel="0" collapsed="false">
      <c r="A18" s="23" t="str">
        <f aca="false">IF(Projects!$C$18="","",Projects!$A$18)</f>
        <v/>
      </c>
      <c r="B18" s="40" t="str">
        <f aca="false">IF(Projects!$C$18="","",Projects!$B$18)</f>
        <v/>
      </c>
      <c r="C18" s="40" t="str">
        <f aca="false">IF(Projects!$C$18="","",Projects!$C$18)</f>
        <v/>
      </c>
      <c r="D18" s="41" t="str">
        <f aca="false">IF(Projects!$C$18="","",Projects!$G$18)</f>
        <v/>
      </c>
      <c r="E18" s="42" t="str">
        <f aca="false">IF(Projects!$C$18="","",SUMIFS('Time Entry'!$G$4:$G$1003,'Time Entry'!$E$4:$E$1003,Projects!$C$18))</f>
        <v/>
      </c>
      <c r="F18" s="41" t="str">
        <f aca="false">IF(Projects!$C$18="","",SUMIFS('Time Entry'!$J$4:$J$1003,'Time Entry'!$E$4:$E$1003,Projects!$C$18))</f>
        <v/>
      </c>
      <c r="G18" s="41" t="str">
        <f aca="false">IF(Projects!$C$18="","",SUMIFS('Time Entry'!$K$4:$K$1003,'Time Entry'!$E$4:$E$1003,Projects!$C$18))</f>
        <v/>
      </c>
      <c r="H18" s="41" t="str">
        <f aca="false">IF(Projects!$C$18="","",F18-G18)</f>
        <v/>
      </c>
      <c r="I18" s="41" t="str">
        <f aca="false">IF(Projects!$C$18="","",SUMIFS(Invoices!$G$4:$G$203,Invoices!$D$4:$D$203,Projects!$C$18))</f>
        <v/>
      </c>
      <c r="J18" s="41" t="str">
        <f aca="false">IF(Projects!$C$18="","",F18-I18)</f>
        <v/>
      </c>
      <c r="K18" s="43" t="str">
        <f aca="false">IF(OR(Projects!$C$18="",Projects!$G$18=0,Projects!$G$18=""),"",F18/Projects!$G$18)</f>
        <v/>
      </c>
    </row>
    <row r="19" customFormat="false" ht="15" hidden="false" customHeight="false" outlineLevel="0" collapsed="false">
      <c r="A19" s="31" t="str">
        <f aca="false">IF(Projects!$C$19="","",Projects!$A$19)</f>
        <v/>
      </c>
      <c r="B19" s="44" t="str">
        <f aca="false">IF(Projects!$C$19="","",Projects!$B$19)</f>
        <v/>
      </c>
      <c r="C19" s="44" t="str">
        <f aca="false">IF(Projects!$C$19="","",Projects!$C$19)</f>
        <v/>
      </c>
      <c r="D19" s="45" t="str">
        <f aca="false">IF(Projects!$C$19="","",Projects!$G$19)</f>
        <v/>
      </c>
      <c r="E19" s="46" t="str">
        <f aca="false">IF(Projects!$C$19="","",SUMIFS('Time Entry'!$G$4:$G$1003,'Time Entry'!$E$4:$E$1003,Projects!$C$19))</f>
        <v/>
      </c>
      <c r="F19" s="45" t="str">
        <f aca="false">IF(Projects!$C$19="","",SUMIFS('Time Entry'!$J$4:$J$1003,'Time Entry'!$E$4:$E$1003,Projects!$C$19))</f>
        <v/>
      </c>
      <c r="G19" s="45" t="str">
        <f aca="false">IF(Projects!$C$19="","",SUMIFS('Time Entry'!$K$4:$K$1003,'Time Entry'!$E$4:$E$1003,Projects!$C$19))</f>
        <v/>
      </c>
      <c r="H19" s="45" t="str">
        <f aca="false">IF(Projects!$C$19="","",F19-G19)</f>
        <v/>
      </c>
      <c r="I19" s="45" t="str">
        <f aca="false">IF(Projects!$C$19="","",SUMIFS(Invoices!$G$4:$G$203,Invoices!$D$4:$D$203,Projects!$C$19))</f>
        <v/>
      </c>
      <c r="J19" s="45" t="str">
        <f aca="false">IF(Projects!$C$19="","",F19-I19)</f>
        <v/>
      </c>
      <c r="K19" s="47" t="str">
        <f aca="false">IF(OR(Projects!$C$19="",Projects!$G$19=0,Projects!$G$19=""),"",F19/Projects!$G$19)</f>
        <v/>
      </c>
    </row>
    <row r="20" customFormat="false" ht="15" hidden="false" customHeight="false" outlineLevel="0" collapsed="false">
      <c r="A20" s="23" t="str">
        <f aca="false">IF(Projects!$C$20="","",Projects!$A$20)</f>
        <v/>
      </c>
      <c r="B20" s="40" t="str">
        <f aca="false">IF(Projects!$C$20="","",Projects!$B$20)</f>
        <v/>
      </c>
      <c r="C20" s="40" t="str">
        <f aca="false">IF(Projects!$C$20="","",Projects!$C$20)</f>
        <v/>
      </c>
      <c r="D20" s="41" t="str">
        <f aca="false">IF(Projects!$C$20="","",Projects!$G$20)</f>
        <v/>
      </c>
      <c r="E20" s="42" t="str">
        <f aca="false">IF(Projects!$C$20="","",SUMIFS('Time Entry'!$G$4:$G$1003,'Time Entry'!$E$4:$E$1003,Projects!$C$20))</f>
        <v/>
      </c>
      <c r="F20" s="41" t="str">
        <f aca="false">IF(Projects!$C$20="","",SUMIFS('Time Entry'!$J$4:$J$1003,'Time Entry'!$E$4:$E$1003,Projects!$C$20))</f>
        <v/>
      </c>
      <c r="G20" s="41" t="str">
        <f aca="false">IF(Projects!$C$20="","",SUMIFS('Time Entry'!$K$4:$K$1003,'Time Entry'!$E$4:$E$1003,Projects!$C$20))</f>
        <v/>
      </c>
      <c r="H20" s="41" t="str">
        <f aca="false">IF(Projects!$C$20="","",F20-G20)</f>
        <v/>
      </c>
      <c r="I20" s="41" t="str">
        <f aca="false">IF(Projects!$C$20="","",SUMIFS(Invoices!$G$4:$G$203,Invoices!$D$4:$D$203,Projects!$C$20))</f>
        <v/>
      </c>
      <c r="J20" s="41" t="str">
        <f aca="false">IF(Projects!$C$20="","",F20-I20)</f>
        <v/>
      </c>
      <c r="K20" s="43" t="str">
        <f aca="false">IF(OR(Projects!$C$20="",Projects!$G$20=0,Projects!$G$20=""),"",F20/Projects!$G$20)</f>
        <v/>
      </c>
    </row>
    <row r="21" customFormat="false" ht="15" hidden="false" customHeight="false" outlineLevel="0" collapsed="false">
      <c r="A21" s="31" t="str">
        <f aca="false">IF(Projects!$C$21="","",Projects!$A$21)</f>
        <v/>
      </c>
      <c r="B21" s="44" t="str">
        <f aca="false">IF(Projects!$C$21="","",Projects!$B$21)</f>
        <v/>
      </c>
      <c r="C21" s="44" t="str">
        <f aca="false">IF(Projects!$C$21="","",Projects!$C$21)</f>
        <v/>
      </c>
      <c r="D21" s="45" t="str">
        <f aca="false">IF(Projects!$C$21="","",Projects!$G$21)</f>
        <v/>
      </c>
      <c r="E21" s="46" t="str">
        <f aca="false">IF(Projects!$C$21="","",SUMIFS('Time Entry'!$G$4:$G$1003,'Time Entry'!$E$4:$E$1003,Projects!$C$21))</f>
        <v/>
      </c>
      <c r="F21" s="45" t="str">
        <f aca="false">IF(Projects!$C$21="","",SUMIFS('Time Entry'!$J$4:$J$1003,'Time Entry'!$E$4:$E$1003,Projects!$C$21))</f>
        <v/>
      </c>
      <c r="G21" s="45" t="str">
        <f aca="false">IF(Projects!$C$21="","",SUMIFS('Time Entry'!$K$4:$K$1003,'Time Entry'!$E$4:$E$1003,Projects!$C$21))</f>
        <v/>
      </c>
      <c r="H21" s="45" t="str">
        <f aca="false">IF(Projects!$C$21="","",F21-G21)</f>
        <v/>
      </c>
      <c r="I21" s="45" t="str">
        <f aca="false">IF(Projects!$C$21="","",SUMIFS(Invoices!$G$4:$G$203,Invoices!$D$4:$D$203,Projects!$C$21))</f>
        <v/>
      </c>
      <c r="J21" s="45" t="str">
        <f aca="false">IF(Projects!$C$21="","",F21-I21)</f>
        <v/>
      </c>
      <c r="K21" s="47" t="str">
        <f aca="false">IF(OR(Projects!$C$21="",Projects!$G$21=0,Projects!$G$21=""),"",F21/Projects!$G$21)</f>
        <v/>
      </c>
    </row>
    <row r="22" customFormat="false" ht="15" hidden="false" customHeight="false" outlineLevel="0" collapsed="false">
      <c r="A22" s="23" t="str">
        <f aca="false">IF(Projects!$C$22="","",Projects!$A$22)</f>
        <v/>
      </c>
      <c r="B22" s="40" t="str">
        <f aca="false">IF(Projects!$C$22="","",Projects!$B$22)</f>
        <v/>
      </c>
      <c r="C22" s="40" t="str">
        <f aca="false">IF(Projects!$C$22="","",Projects!$C$22)</f>
        <v/>
      </c>
      <c r="D22" s="41" t="str">
        <f aca="false">IF(Projects!$C$22="","",Projects!$G$22)</f>
        <v/>
      </c>
      <c r="E22" s="42" t="str">
        <f aca="false">IF(Projects!$C$22="","",SUMIFS('Time Entry'!$G$4:$G$1003,'Time Entry'!$E$4:$E$1003,Projects!$C$22))</f>
        <v/>
      </c>
      <c r="F22" s="41" t="str">
        <f aca="false">IF(Projects!$C$22="","",SUMIFS('Time Entry'!$J$4:$J$1003,'Time Entry'!$E$4:$E$1003,Projects!$C$22))</f>
        <v/>
      </c>
      <c r="G22" s="41" t="str">
        <f aca="false">IF(Projects!$C$22="","",SUMIFS('Time Entry'!$K$4:$K$1003,'Time Entry'!$E$4:$E$1003,Projects!$C$22))</f>
        <v/>
      </c>
      <c r="H22" s="41" t="str">
        <f aca="false">IF(Projects!$C$22="","",F22-G22)</f>
        <v/>
      </c>
      <c r="I22" s="41" t="str">
        <f aca="false">IF(Projects!$C$22="","",SUMIFS(Invoices!$G$4:$G$203,Invoices!$D$4:$D$203,Projects!$C$22))</f>
        <v/>
      </c>
      <c r="J22" s="41" t="str">
        <f aca="false">IF(Projects!$C$22="","",F22-I22)</f>
        <v/>
      </c>
      <c r="K22" s="43" t="str">
        <f aca="false">IF(OR(Projects!$C$22="",Projects!$G$22=0,Projects!$G$22=""),"",F22/Projects!$G$22)</f>
        <v/>
      </c>
    </row>
    <row r="23" customFormat="false" ht="15" hidden="false" customHeight="false" outlineLevel="0" collapsed="false">
      <c r="A23" s="31" t="str">
        <f aca="false">IF(Projects!$C$23="","",Projects!$A$23)</f>
        <v/>
      </c>
      <c r="B23" s="44" t="str">
        <f aca="false">IF(Projects!$C$23="","",Projects!$B$23)</f>
        <v/>
      </c>
      <c r="C23" s="44" t="str">
        <f aca="false">IF(Projects!$C$23="","",Projects!$C$23)</f>
        <v/>
      </c>
      <c r="D23" s="45" t="str">
        <f aca="false">IF(Projects!$C$23="","",Projects!$G$23)</f>
        <v/>
      </c>
      <c r="E23" s="46" t="str">
        <f aca="false">IF(Projects!$C$23="","",SUMIFS('Time Entry'!$G$4:$G$1003,'Time Entry'!$E$4:$E$1003,Projects!$C$23))</f>
        <v/>
      </c>
      <c r="F23" s="45" t="str">
        <f aca="false">IF(Projects!$C$23="","",SUMIFS('Time Entry'!$J$4:$J$1003,'Time Entry'!$E$4:$E$1003,Projects!$C$23))</f>
        <v/>
      </c>
      <c r="G23" s="45" t="str">
        <f aca="false">IF(Projects!$C$23="","",SUMIFS('Time Entry'!$K$4:$K$1003,'Time Entry'!$E$4:$E$1003,Projects!$C$23))</f>
        <v/>
      </c>
      <c r="H23" s="45" t="str">
        <f aca="false">IF(Projects!$C$23="","",F23-G23)</f>
        <v/>
      </c>
      <c r="I23" s="45" t="str">
        <f aca="false">IF(Projects!$C$23="","",SUMIFS(Invoices!$G$4:$G$203,Invoices!$D$4:$D$203,Projects!$C$23))</f>
        <v/>
      </c>
      <c r="J23" s="45" t="str">
        <f aca="false">IF(Projects!$C$23="","",F23-I23)</f>
        <v/>
      </c>
      <c r="K23" s="47" t="str">
        <f aca="false">IF(OR(Projects!$C$23="",Projects!$G$23=0,Projects!$G$23=""),"",F23/Projects!$G$23)</f>
        <v/>
      </c>
    </row>
    <row r="24" customFormat="false" ht="15" hidden="false" customHeight="false" outlineLevel="0" collapsed="false">
      <c r="A24" s="23" t="str">
        <f aca="false">IF(Projects!$C$24="","",Projects!$A$24)</f>
        <v/>
      </c>
      <c r="B24" s="40" t="str">
        <f aca="false">IF(Projects!$C$24="","",Projects!$B$24)</f>
        <v/>
      </c>
      <c r="C24" s="40" t="str">
        <f aca="false">IF(Projects!$C$24="","",Projects!$C$24)</f>
        <v/>
      </c>
      <c r="D24" s="41" t="str">
        <f aca="false">IF(Projects!$C$24="","",Projects!$G$24)</f>
        <v/>
      </c>
      <c r="E24" s="42" t="str">
        <f aca="false">IF(Projects!$C$24="","",SUMIFS('Time Entry'!$G$4:$G$1003,'Time Entry'!$E$4:$E$1003,Projects!$C$24))</f>
        <v/>
      </c>
      <c r="F24" s="41" t="str">
        <f aca="false">IF(Projects!$C$24="","",SUMIFS('Time Entry'!$J$4:$J$1003,'Time Entry'!$E$4:$E$1003,Projects!$C$24))</f>
        <v/>
      </c>
      <c r="G24" s="41" t="str">
        <f aca="false">IF(Projects!$C$24="","",SUMIFS('Time Entry'!$K$4:$K$1003,'Time Entry'!$E$4:$E$1003,Projects!$C$24))</f>
        <v/>
      </c>
      <c r="H24" s="41" t="str">
        <f aca="false">IF(Projects!$C$24="","",F24-G24)</f>
        <v/>
      </c>
      <c r="I24" s="41" t="str">
        <f aca="false">IF(Projects!$C$24="","",SUMIFS(Invoices!$G$4:$G$203,Invoices!$D$4:$D$203,Projects!$C$24))</f>
        <v/>
      </c>
      <c r="J24" s="41" t="str">
        <f aca="false">IF(Projects!$C$24="","",F24-I24)</f>
        <v/>
      </c>
      <c r="K24" s="43" t="str">
        <f aca="false">IF(OR(Projects!$C$24="",Projects!$G$24=0,Projects!$G$24=""),"",F24/Projects!$G$24)</f>
        <v/>
      </c>
    </row>
    <row r="25" customFormat="false" ht="15" hidden="false" customHeight="false" outlineLevel="0" collapsed="false">
      <c r="A25" s="31" t="str">
        <f aca="false">IF(Projects!$C$25="","",Projects!$A$25)</f>
        <v/>
      </c>
      <c r="B25" s="44" t="str">
        <f aca="false">IF(Projects!$C$25="","",Projects!$B$25)</f>
        <v/>
      </c>
      <c r="C25" s="44" t="str">
        <f aca="false">IF(Projects!$C$25="","",Projects!$C$25)</f>
        <v/>
      </c>
      <c r="D25" s="45" t="str">
        <f aca="false">IF(Projects!$C$25="","",Projects!$G$25)</f>
        <v/>
      </c>
      <c r="E25" s="46" t="str">
        <f aca="false">IF(Projects!$C$25="","",SUMIFS('Time Entry'!$G$4:$G$1003,'Time Entry'!$E$4:$E$1003,Projects!$C$25))</f>
        <v/>
      </c>
      <c r="F25" s="45" t="str">
        <f aca="false">IF(Projects!$C$25="","",SUMIFS('Time Entry'!$J$4:$J$1003,'Time Entry'!$E$4:$E$1003,Projects!$C$25))</f>
        <v/>
      </c>
      <c r="G25" s="45" t="str">
        <f aca="false">IF(Projects!$C$25="","",SUMIFS('Time Entry'!$K$4:$K$1003,'Time Entry'!$E$4:$E$1003,Projects!$C$25))</f>
        <v/>
      </c>
      <c r="H25" s="45" t="str">
        <f aca="false">IF(Projects!$C$25="","",F25-G25)</f>
        <v/>
      </c>
      <c r="I25" s="45" t="str">
        <f aca="false">IF(Projects!$C$25="","",SUMIFS(Invoices!$G$4:$G$203,Invoices!$D$4:$D$203,Projects!$C$25))</f>
        <v/>
      </c>
      <c r="J25" s="45" t="str">
        <f aca="false">IF(Projects!$C$25="","",F25-I25)</f>
        <v/>
      </c>
      <c r="K25" s="47" t="str">
        <f aca="false">IF(OR(Projects!$C$25="",Projects!$G$25=0,Projects!$G$25=""),"",F25/Projects!$G$25)</f>
        <v/>
      </c>
    </row>
    <row r="26" customFormat="false" ht="15" hidden="false" customHeight="false" outlineLevel="0" collapsed="false">
      <c r="A26" s="23" t="str">
        <f aca="false">IF(Projects!$C$26="","",Projects!$A$26)</f>
        <v/>
      </c>
      <c r="B26" s="40" t="str">
        <f aca="false">IF(Projects!$C$26="","",Projects!$B$26)</f>
        <v/>
      </c>
      <c r="C26" s="40" t="str">
        <f aca="false">IF(Projects!$C$26="","",Projects!$C$26)</f>
        <v/>
      </c>
      <c r="D26" s="41" t="str">
        <f aca="false">IF(Projects!$C$26="","",Projects!$G$26)</f>
        <v/>
      </c>
      <c r="E26" s="42" t="str">
        <f aca="false">IF(Projects!$C$26="","",SUMIFS('Time Entry'!$G$4:$G$1003,'Time Entry'!$E$4:$E$1003,Projects!$C$26))</f>
        <v/>
      </c>
      <c r="F26" s="41" t="str">
        <f aca="false">IF(Projects!$C$26="","",SUMIFS('Time Entry'!$J$4:$J$1003,'Time Entry'!$E$4:$E$1003,Projects!$C$26))</f>
        <v/>
      </c>
      <c r="G26" s="41" t="str">
        <f aca="false">IF(Projects!$C$26="","",SUMIFS('Time Entry'!$K$4:$K$1003,'Time Entry'!$E$4:$E$1003,Projects!$C$26))</f>
        <v/>
      </c>
      <c r="H26" s="41" t="str">
        <f aca="false">IF(Projects!$C$26="","",F26-G26)</f>
        <v/>
      </c>
      <c r="I26" s="41" t="str">
        <f aca="false">IF(Projects!$C$26="","",SUMIFS(Invoices!$G$4:$G$203,Invoices!$D$4:$D$203,Projects!$C$26))</f>
        <v/>
      </c>
      <c r="J26" s="41" t="str">
        <f aca="false">IF(Projects!$C$26="","",F26-I26)</f>
        <v/>
      </c>
      <c r="K26" s="43" t="str">
        <f aca="false">IF(OR(Projects!$C$26="",Projects!$G$26=0,Projects!$G$26=""),"",F26/Projects!$G$26)</f>
        <v/>
      </c>
    </row>
    <row r="27" customFormat="false" ht="15" hidden="false" customHeight="false" outlineLevel="0" collapsed="false">
      <c r="A27" s="31" t="str">
        <f aca="false">IF(Projects!$C$27="","",Projects!$A$27)</f>
        <v/>
      </c>
      <c r="B27" s="44" t="str">
        <f aca="false">IF(Projects!$C$27="","",Projects!$B$27)</f>
        <v/>
      </c>
      <c r="C27" s="44" t="str">
        <f aca="false">IF(Projects!$C$27="","",Projects!$C$27)</f>
        <v/>
      </c>
      <c r="D27" s="45" t="str">
        <f aca="false">IF(Projects!$C$27="","",Projects!$G$27)</f>
        <v/>
      </c>
      <c r="E27" s="46" t="str">
        <f aca="false">IF(Projects!$C$27="","",SUMIFS('Time Entry'!$G$4:$G$1003,'Time Entry'!$E$4:$E$1003,Projects!$C$27))</f>
        <v/>
      </c>
      <c r="F27" s="45" t="str">
        <f aca="false">IF(Projects!$C$27="","",SUMIFS('Time Entry'!$J$4:$J$1003,'Time Entry'!$E$4:$E$1003,Projects!$C$27))</f>
        <v/>
      </c>
      <c r="G27" s="45" t="str">
        <f aca="false">IF(Projects!$C$27="","",SUMIFS('Time Entry'!$K$4:$K$1003,'Time Entry'!$E$4:$E$1003,Projects!$C$27))</f>
        <v/>
      </c>
      <c r="H27" s="45" t="str">
        <f aca="false">IF(Projects!$C$27="","",F27-G27)</f>
        <v/>
      </c>
      <c r="I27" s="45" t="str">
        <f aca="false">IF(Projects!$C$27="","",SUMIFS(Invoices!$G$4:$G$203,Invoices!$D$4:$D$203,Projects!$C$27))</f>
        <v/>
      </c>
      <c r="J27" s="45" t="str">
        <f aca="false">IF(Projects!$C$27="","",F27-I27)</f>
        <v/>
      </c>
      <c r="K27" s="47" t="str">
        <f aca="false">IF(OR(Projects!$C$27="",Projects!$G$27=0,Projects!$G$27=""),"",F27/Projects!$G$27)</f>
        <v/>
      </c>
    </row>
    <row r="28" customFormat="false" ht="15" hidden="false" customHeight="false" outlineLevel="0" collapsed="false">
      <c r="A28" s="23" t="str">
        <f aca="false">IF(Projects!$C$28="","",Projects!$A$28)</f>
        <v/>
      </c>
      <c r="B28" s="40" t="str">
        <f aca="false">IF(Projects!$C$28="","",Projects!$B$28)</f>
        <v/>
      </c>
      <c r="C28" s="40" t="str">
        <f aca="false">IF(Projects!$C$28="","",Projects!$C$28)</f>
        <v/>
      </c>
      <c r="D28" s="41" t="str">
        <f aca="false">IF(Projects!$C$28="","",Projects!$G$28)</f>
        <v/>
      </c>
      <c r="E28" s="42" t="str">
        <f aca="false">IF(Projects!$C$28="","",SUMIFS('Time Entry'!$G$4:$G$1003,'Time Entry'!$E$4:$E$1003,Projects!$C$28))</f>
        <v/>
      </c>
      <c r="F28" s="41" t="str">
        <f aca="false">IF(Projects!$C$28="","",SUMIFS('Time Entry'!$J$4:$J$1003,'Time Entry'!$E$4:$E$1003,Projects!$C$28))</f>
        <v/>
      </c>
      <c r="G28" s="41" t="str">
        <f aca="false">IF(Projects!$C$28="","",SUMIFS('Time Entry'!$K$4:$K$1003,'Time Entry'!$E$4:$E$1003,Projects!$C$28))</f>
        <v/>
      </c>
      <c r="H28" s="41" t="str">
        <f aca="false">IF(Projects!$C$28="","",F28-G28)</f>
        <v/>
      </c>
      <c r="I28" s="41" t="str">
        <f aca="false">IF(Projects!$C$28="","",SUMIFS(Invoices!$G$4:$G$203,Invoices!$D$4:$D$203,Projects!$C$28))</f>
        <v/>
      </c>
      <c r="J28" s="41" t="str">
        <f aca="false">IF(Projects!$C$28="","",F28-I28)</f>
        <v/>
      </c>
      <c r="K28" s="43" t="str">
        <f aca="false">IF(OR(Projects!$C$28="",Projects!$G$28=0,Projects!$G$28=""),"",F28/Projects!$G$28)</f>
        <v/>
      </c>
    </row>
    <row r="29" customFormat="false" ht="15" hidden="false" customHeight="false" outlineLevel="0" collapsed="false">
      <c r="A29" s="31" t="str">
        <f aca="false">IF(Projects!$C$29="","",Projects!$A$29)</f>
        <v/>
      </c>
      <c r="B29" s="44" t="str">
        <f aca="false">IF(Projects!$C$29="","",Projects!$B$29)</f>
        <v/>
      </c>
      <c r="C29" s="44" t="str">
        <f aca="false">IF(Projects!$C$29="","",Projects!$C$29)</f>
        <v/>
      </c>
      <c r="D29" s="45" t="str">
        <f aca="false">IF(Projects!$C$29="","",Projects!$G$29)</f>
        <v/>
      </c>
      <c r="E29" s="46" t="str">
        <f aca="false">IF(Projects!$C$29="","",SUMIFS('Time Entry'!$G$4:$G$1003,'Time Entry'!$E$4:$E$1003,Projects!$C$29))</f>
        <v/>
      </c>
      <c r="F29" s="45" t="str">
        <f aca="false">IF(Projects!$C$29="","",SUMIFS('Time Entry'!$J$4:$J$1003,'Time Entry'!$E$4:$E$1003,Projects!$C$29))</f>
        <v/>
      </c>
      <c r="G29" s="45" t="str">
        <f aca="false">IF(Projects!$C$29="","",SUMIFS('Time Entry'!$K$4:$K$1003,'Time Entry'!$E$4:$E$1003,Projects!$C$29))</f>
        <v/>
      </c>
      <c r="H29" s="45" t="str">
        <f aca="false">IF(Projects!$C$29="","",F29-G29)</f>
        <v/>
      </c>
      <c r="I29" s="45" t="str">
        <f aca="false">IF(Projects!$C$29="","",SUMIFS(Invoices!$G$4:$G$203,Invoices!$D$4:$D$203,Projects!$C$29))</f>
        <v/>
      </c>
      <c r="J29" s="45" t="str">
        <f aca="false">IF(Projects!$C$29="","",F29-I29)</f>
        <v/>
      </c>
      <c r="K29" s="47" t="str">
        <f aca="false">IF(OR(Projects!$C$29="",Projects!$G$29=0,Projects!$G$29=""),"",F29/Projects!$G$29)</f>
        <v/>
      </c>
    </row>
    <row r="30" customFormat="false" ht="15" hidden="false" customHeight="false" outlineLevel="0" collapsed="false">
      <c r="A30" s="23" t="str">
        <f aca="false">IF(Projects!$C$30="","",Projects!$A$30)</f>
        <v/>
      </c>
      <c r="B30" s="40" t="str">
        <f aca="false">IF(Projects!$C$30="","",Projects!$B$30)</f>
        <v/>
      </c>
      <c r="C30" s="40" t="str">
        <f aca="false">IF(Projects!$C$30="","",Projects!$C$30)</f>
        <v/>
      </c>
      <c r="D30" s="41" t="str">
        <f aca="false">IF(Projects!$C$30="","",Projects!$G$30)</f>
        <v/>
      </c>
      <c r="E30" s="42" t="str">
        <f aca="false">IF(Projects!$C$30="","",SUMIFS('Time Entry'!$G$4:$G$1003,'Time Entry'!$E$4:$E$1003,Projects!$C$30))</f>
        <v/>
      </c>
      <c r="F30" s="41" t="str">
        <f aca="false">IF(Projects!$C$30="","",SUMIFS('Time Entry'!$J$4:$J$1003,'Time Entry'!$E$4:$E$1003,Projects!$C$30))</f>
        <v/>
      </c>
      <c r="G30" s="41" t="str">
        <f aca="false">IF(Projects!$C$30="","",SUMIFS('Time Entry'!$K$4:$K$1003,'Time Entry'!$E$4:$E$1003,Projects!$C$30))</f>
        <v/>
      </c>
      <c r="H30" s="41" t="str">
        <f aca="false">IF(Projects!$C$30="","",F30-G30)</f>
        <v/>
      </c>
      <c r="I30" s="41" t="str">
        <f aca="false">IF(Projects!$C$30="","",SUMIFS(Invoices!$G$4:$G$203,Invoices!$D$4:$D$203,Projects!$C$30))</f>
        <v/>
      </c>
      <c r="J30" s="41" t="str">
        <f aca="false">IF(Projects!$C$30="","",F30-I30)</f>
        <v/>
      </c>
      <c r="K30" s="43" t="str">
        <f aca="false">IF(OR(Projects!$C$30="",Projects!$G$30=0,Projects!$G$30=""),"",F30/Projects!$G$30)</f>
        <v/>
      </c>
    </row>
    <row r="31" customFormat="false" ht="15" hidden="false" customHeight="false" outlineLevel="0" collapsed="false">
      <c r="A31" s="31" t="str">
        <f aca="false">IF(Projects!$C$31="","",Projects!$A$31)</f>
        <v/>
      </c>
      <c r="B31" s="44" t="str">
        <f aca="false">IF(Projects!$C$31="","",Projects!$B$31)</f>
        <v/>
      </c>
      <c r="C31" s="44" t="str">
        <f aca="false">IF(Projects!$C$31="","",Projects!$C$31)</f>
        <v/>
      </c>
      <c r="D31" s="45" t="str">
        <f aca="false">IF(Projects!$C$31="","",Projects!$G$31)</f>
        <v/>
      </c>
      <c r="E31" s="46" t="str">
        <f aca="false">IF(Projects!$C$31="","",SUMIFS('Time Entry'!$G$4:$G$1003,'Time Entry'!$E$4:$E$1003,Projects!$C$31))</f>
        <v/>
      </c>
      <c r="F31" s="45" t="str">
        <f aca="false">IF(Projects!$C$31="","",SUMIFS('Time Entry'!$J$4:$J$1003,'Time Entry'!$E$4:$E$1003,Projects!$C$31))</f>
        <v/>
      </c>
      <c r="G31" s="45" t="str">
        <f aca="false">IF(Projects!$C$31="","",SUMIFS('Time Entry'!$K$4:$K$1003,'Time Entry'!$E$4:$E$1003,Projects!$C$31))</f>
        <v/>
      </c>
      <c r="H31" s="45" t="str">
        <f aca="false">IF(Projects!$C$31="","",F31-G31)</f>
        <v/>
      </c>
      <c r="I31" s="45" t="str">
        <f aca="false">IF(Projects!$C$31="","",SUMIFS(Invoices!$G$4:$G$203,Invoices!$D$4:$D$203,Projects!$C$31))</f>
        <v/>
      </c>
      <c r="J31" s="45" t="str">
        <f aca="false">IF(Projects!$C$31="","",F31-I31)</f>
        <v/>
      </c>
      <c r="K31" s="47" t="str">
        <f aca="false">IF(OR(Projects!$C$31="",Projects!$G$31=0,Projects!$G$31=""),"",F31/Projects!$G$31)</f>
        <v/>
      </c>
    </row>
    <row r="32" customFormat="false" ht="15" hidden="false" customHeight="false" outlineLevel="0" collapsed="false">
      <c r="A32" s="23" t="str">
        <f aca="false">IF(Projects!$C$32="","",Projects!$A$32)</f>
        <v/>
      </c>
      <c r="B32" s="40" t="str">
        <f aca="false">IF(Projects!$C$32="","",Projects!$B$32)</f>
        <v/>
      </c>
      <c r="C32" s="40" t="str">
        <f aca="false">IF(Projects!$C$32="","",Projects!$C$32)</f>
        <v/>
      </c>
      <c r="D32" s="41" t="str">
        <f aca="false">IF(Projects!$C$32="","",Projects!$G$32)</f>
        <v/>
      </c>
      <c r="E32" s="42" t="str">
        <f aca="false">IF(Projects!$C$32="","",SUMIFS('Time Entry'!$G$4:$G$1003,'Time Entry'!$E$4:$E$1003,Projects!$C$32))</f>
        <v/>
      </c>
      <c r="F32" s="41" t="str">
        <f aca="false">IF(Projects!$C$32="","",SUMIFS('Time Entry'!$J$4:$J$1003,'Time Entry'!$E$4:$E$1003,Projects!$C$32))</f>
        <v/>
      </c>
      <c r="G32" s="41" t="str">
        <f aca="false">IF(Projects!$C$32="","",SUMIFS('Time Entry'!$K$4:$K$1003,'Time Entry'!$E$4:$E$1003,Projects!$C$32))</f>
        <v/>
      </c>
      <c r="H32" s="41" t="str">
        <f aca="false">IF(Projects!$C$32="","",F32-G32)</f>
        <v/>
      </c>
      <c r="I32" s="41" t="str">
        <f aca="false">IF(Projects!$C$32="","",SUMIFS(Invoices!$G$4:$G$203,Invoices!$D$4:$D$203,Projects!$C$32))</f>
        <v/>
      </c>
      <c r="J32" s="41" t="str">
        <f aca="false">IF(Projects!$C$32="","",F32-I32)</f>
        <v/>
      </c>
      <c r="K32" s="43" t="str">
        <f aca="false">IF(OR(Projects!$C$32="",Projects!$G$32=0,Projects!$G$32=""),"",F32/Projects!$G$32)</f>
        <v/>
      </c>
    </row>
    <row r="33" customFormat="false" ht="15" hidden="false" customHeight="false" outlineLevel="0" collapsed="false">
      <c r="A33" s="31" t="str">
        <f aca="false">IF(Projects!$C$33="","",Projects!$A$33)</f>
        <v/>
      </c>
      <c r="B33" s="44" t="str">
        <f aca="false">IF(Projects!$C$33="","",Projects!$B$33)</f>
        <v/>
      </c>
      <c r="C33" s="44" t="str">
        <f aca="false">IF(Projects!$C$33="","",Projects!$C$33)</f>
        <v/>
      </c>
      <c r="D33" s="45" t="str">
        <f aca="false">IF(Projects!$C$33="","",Projects!$G$33)</f>
        <v/>
      </c>
      <c r="E33" s="46" t="str">
        <f aca="false">IF(Projects!$C$33="","",SUMIFS('Time Entry'!$G$4:$G$1003,'Time Entry'!$E$4:$E$1003,Projects!$C$33))</f>
        <v/>
      </c>
      <c r="F33" s="45" t="str">
        <f aca="false">IF(Projects!$C$33="","",SUMIFS('Time Entry'!$J$4:$J$1003,'Time Entry'!$E$4:$E$1003,Projects!$C$33))</f>
        <v/>
      </c>
      <c r="G33" s="45" t="str">
        <f aca="false">IF(Projects!$C$33="","",SUMIFS('Time Entry'!$K$4:$K$1003,'Time Entry'!$E$4:$E$1003,Projects!$C$33))</f>
        <v/>
      </c>
      <c r="H33" s="45" t="str">
        <f aca="false">IF(Projects!$C$33="","",F33-G33)</f>
        <v/>
      </c>
      <c r="I33" s="45" t="str">
        <f aca="false">IF(Projects!$C$33="","",SUMIFS(Invoices!$G$4:$G$203,Invoices!$D$4:$D$203,Projects!$C$33))</f>
        <v/>
      </c>
      <c r="J33" s="45" t="str">
        <f aca="false">IF(Projects!$C$33="","",F33-I33)</f>
        <v/>
      </c>
      <c r="K33" s="47" t="str">
        <f aca="false">IF(OR(Projects!$C$33="",Projects!$G$33=0,Projects!$G$33=""),"",F33/Projects!$G$33)</f>
        <v/>
      </c>
    </row>
    <row r="34" customFormat="false" ht="15" hidden="false" customHeight="false" outlineLevel="0" collapsed="false">
      <c r="A34" s="23" t="str">
        <f aca="false">IF(Projects!$C$34="","",Projects!$A$34)</f>
        <v/>
      </c>
      <c r="B34" s="40" t="str">
        <f aca="false">IF(Projects!$C$34="","",Projects!$B$34)</f>
        <v/>
      </c>
      <c r="C34" s="40" t="str">
        <f aca="false">IF(Projects!$C$34="","",Projects!$C$34)</f>
        <v/>
      </c>
      <c r="D34" s="41" t="str">
        <f aca="false">IF(Projects!$C$34="","",Projects!$G$34)</f>
        <v/>
      </c>
      <c r="E34" s="42" t="str">
        <f aca="false">IF(Projects!$C$34="","",SUMIFS('Time Entry'!$G$4:$G$1003,'Time Entry'!$E$4:$E$1003,Projects!$C$34))</f>
        <v/>
      </c>
      <c r="F34" s="41" t="str">
        <f aca="false">IF(Projects!$C$34="","",SUMIFS('Time Entry'!$J$4:$J$1003,'Time Entry'!$E$4:$E$1003,Projects!$C$34))</f>
        <v/>
      </c>
      <c r="G34" s="41" t="str">
        <f aca="false">IF(Projects!$C$34="","",SUMIFS('Time Entry'!$K$4:$K$1003,'Time Entry'!$E$4:$E$1003,Projects!$C$34))</f>
        <v/>
      </c>
      <c r="H34" s="41" t="str">
        <f aca="false">IF(Projects!$C$34="","",F34-G34)</f>
        <v/>
      </c>
      <c r="I34" s="41" t="str">
        <f aca="false">IF(Projects!$C$34="","",SUMIFS(Invoices!$G$4:$G$203,Invoices!$D$4:$D$203,Projects!$C$34))</f>
        <v/>
      </c>
      <c r="J34" s="41" t="str">
        <f aca="false">IF(Projects!$C$34="","",F34-I34)</f>
        <v/>
      </c>
      <c r="K34" s="43" t="str">
        <f aca="false">IF(OR(Projects!$C$34="",Projects!$G$34=0,Projects!$G$34=""),"",F34/Projects!$G$34)</f>
        <v/>
      </c>
    </row>
    <row r="35" customFormat="false" ht="15" hidden="false" customHeight="false" outlineLevel="0" collapsed="false">
      <c r="A35" s="31" t="str">
        <f aca="false">IF(Projects!$C$35="","",Projects!$A$35)</f>
        <v/>
      </c>
      <c r="B35" s="44" t="str">
        <f aca="false">IF(Projects!$C$35="","",Projects!$B$35)</f>
        <v/>
      </c>
      <c r="C35" s="44" t="str">
        <f aca="false">IF(Projects!$C$35="","",Projects!$C$35)</f>
        <v/>
      </c>
      <c r="D35" s="45" t="str">
        <f aca="false">IF(Projects!$C$35="","",Projects!$G$35)</f>
        <v/>
      </c>
      <c r="E35" s="46" t="str">
        <f aca="false">IF(Projects!$C$35="","",SUMIFS('Time Entry'!$G$4:$G$1003,'Time Entry'!$E$4:$E$1003,Projects!$C$35))</f>
        <v/>
      </c>
      <c r="F35" s="45" t="str">
        <f aca="false">IF(Projects!$C$35="","",SUMIFS('Time Entry'!$J$4:$J$1003,'Time Entry'!$E$4:$E$1003,Projects!$C$35))</f>
        <v/>
      </c>
      <c r="G35" s="45" t="str">
        <f aca="false">IF(Projects!$C$35="","",SUMIFS('Time Entry'!$K$4:$K$1003,'Time Entry'!$E$4:$E$1003,Projects!$C$35))</f>
        <v/>
      </c>
      <c r="H35" s="45" t="str">
        <f aca="false">IF(Projects!$C$35="","",F35-G35)</f>
        <v/>
      </c>
      <c r="I35" s="45" t="str">
        <f aca="false">IF(Projects!$C$35="","",SUMIFS(Invoices!$G$4:$G$203,Invoices!$D$4:$D$203,Projects!$C$35))</f>
        <v/>
      </c>
      <c r="J35" s="45" t="str">
        <f aca="false">IF(Projects!$C$35="","",F35-I35)</f>
        <v/>
      </c>
      <c r="K35" s="47" t="str">
        <f aca="false">IF(OR(Projects!$C$35="",Projects!$G$35=0,Projects!$G$35=""),"",F35/Projects!$G$35)</f>
        <v/>
      </c>
    </row>
    <row r="36" customFormat="false" ht="15" hidden="false" customHeight="false" outlineLevel="0" collapsed="false">
      <c r="A36" s="23" t="str">
        <f aca="false">IF(Projects!$C$36="","",Projects!$A$36)</f>
        <v/>
      </c>
      <c r="B36" s="40" t="str">
        <f aca="false">IF(Projects!$C$36="","",Projects!$B$36)</f>
        <v/>
      </c>
      <c r="C36" s="40" t="str">
        <f aca="false">IF(Projects!$C$36="","",Projects!$C$36)</f>
        <v/>
      </c>
      <c r="D36" s="41" t="str">
        <f aca="false">IF(Projects!$C$36="","",Projects!$G$36)</f>
        <v/>
      </c>
      <c r="E36" s="42" t="str">
        <f aca="false">IF(Projects!$C$36="","",SUMIFS('Time Entry'!$G$4:$G$1003,'Time Entry'!$E$4:$E$1003,Projects!$C$36))</f>
        <v/>
      </c>
      <c r="F36" s="41" t="str">
        <f aca="false">IF(Projects!$C$36="","",SUMIFS('Time Entry'!$J$4:$J$1003,'Time Entry'!$E$4:$E$1003,Projects!$C$36))</f>
        <v/>
      </c>
      <c r="G36" s="41" t="str">
        <f aca="false">IF(Projects!$C$36="","",SUMIFS('Time Entry'!$K$4:$K$1003,'Time Entry'!$E$4:$E$1003,Projects!$C$36))</f>
        <v/>
      </c>
      <c r="H36" s="41" t="str">
        <f aca="false">IF(Projects!$C$36="","",F36-G36)</f>
        <v/>
      </c>
      <c r="I36" s="41" t="str">
        <f aca="false">IF(Projects!$C$36="","",SUMIFS(Invoices!$G$4:$G$203,Invoices!$D$4:$D$203,Projects!$C$36))</f>
        <v/>
      </c>
      <c r="J36" s="41" t="str">
        <f aca="false">IF(Projects!$C$36="","",F36-I36)</f>
        <v/>
      </c>
      <c r="K36" s="43" t="str">
        <f aca="false">IF(OR(Projects!$C$36="",Projects!$G$36=0,Projects!$G$36=""),"",F36/Projects!$G$36)</f>
        <v/>
      </c>
    </row>
    <row r="37" customFormat="false" ht="15" hidden="false" customHeight="false" outlineLevel="0" collapsed="false">
      <c r="A37" s="31" t="str">
        <f aca="false">IF(Projects!$C$37="","",Projects!$A$37)</f>
        <v/>
      </c>
      <c r="B37" s="44" t="str">
        <f aca="false">IF(Projects!$C$37="","",Projects!$B$37)</f>
        <v/>
      </c>
      <c r="C37" s="44" t="str">
        <f aca="false">IF(Projects!$C$37="","",Projects!$C$37)</f>
        <v/>
      </c>
      <c r="D37" s="45" t="str">
        <f aca="false">IF(Projects!$C$37="","",Projects!$G$37)</f>
        <v/>
      </c>
      <c r="E37" s="46" t="str">
        <f aca="false">IF(Projects!$C$37="","",SUMIFS('Time Entry'!$G$4:$G$1003,'Time Entry'!$E$4:$E$1003,Projects!$C$37))</f>
        <v/>
      </c>
      <c r="F37" s="45" t="str">
        <f aca="false">IF(Projects!$C$37="","",SUMIFS('Time Entry'!$J$4:$J$1003,'Time Entry'!$E$4:$E$1003,Projects!$C$37))</f>
        <v/>
      </c>
      <c r="G37" s="45" t="str">
        <f aca="false">IF(Projects!$C$37="","",SUMIFS('Time Entry'!$K$4:$K$1003,'Time Entry'!$E$4:$E$1003,Projects!$C$37))</f>
        <v/>
      </c>
      <c r="H37" s="45" t="str">
        <f aca="false">IF(Projects!$C$37="","",F37-G37)</f>
        <v/>
      </c>
      <c r="I37" s="45" t="str">
        <f aca="false">IF(Projects!$C$37="","",SUMIFS(Invoices!$G$4:$G$203,Invoices!$D$4:$D$203,Projects!$C$37))</f>
        <v/>
      </c>
      <c r="J37" s="45" t="str">
        <f aca="false">IF(Projects!$C$37="","",F37-I37)</f>
        <v/>
      </c>
      <c r="K37" s="47" t="str">
        <f aca="false">IF(OR(Projects!$C$37="",Projects!$G$37=0,Projects!$G$37=""),"",F37/Projects!$G$37)</f>
        <v/>
      </c>
    </row>
    <row r="38" customFormat="false" ht="15" hidden="false" customHeight="false" outlineLevel="0" collapsed="false">
      <c r="A38" s="23" t="str">
        <f aca="false">IF(Projects!$C$38="","",Projects!$A$38)</f>
        <v/>
      </c>
      <c r="B38" s="40" t="str">
        <f aca="false">IF(Projects!$C$38="","",Projects!$B$38)</f>
        <v/>
      </c>
      <c r="C38" s="40" t="str">
        <f aca="false">IF(Projects!$C$38="","",Projects!$C$38)</f>
        <v/>
      </c>
      <c r="D38" s="41" t="str">
        <f aca="false">IF(Projects!$C$38="","",Projects!$G$38)</f>
        <v/>
      </c>
      <c r="E38" s="42" t="str">
        <f aca="false">IF(Projects!$C$38="","",SUMIFS('Time Entry'!$G$4:$G$1003,'Time Entry'!$E$4:$E$1003,Projects!$C$38))</f>
        <v/>
      </c>
      <c r="F38" s="41" t="str">
        <f aca="false">IF(Projects!$C$38="","",SUMIFS('Time Entry'!$J$4:$J$1003,'Time Entry'!$E$4:$E$1003,Projects!$C$38))</f>
        <v/>
      </c>
      <c r="G38" s="41" t="str">
        <f aca="false">IF(Projects!$C$38="","",SUMIFS('Time Entry'!$K$4:$K$1003,'Time Entry'!$E$4:$E$1003,Projects!$C$38))</f>
        <v/>
      </c>
      <c r="H38" s="41" t="str">
        <f aca="false">IF(Projects!$C$38="","",F38-G38)</f>
        <v/>
      </c>
      <c r="I38" s="41" t="str">
        <f aca="false">IF(Projects!$C$38="","",SUMIFS(Invoices!$G$4:$G$203,Invoices!$D$4:$D$203,Projects!$C$38))</f>
        <v/>
      </c>
      <c r="J38" s="41" t="str">
        <f aca="false">IF(Projects!$C$38="","",F38-I38)</f>
        <v/>
      </c>
      <c r="K38" s="43" t="str">
        <f aca="false">IF(OR(Projects!$C$38="",Projects!$G$38=0,Projects!$G$38=""),"",F38/Projects!$G$38)</f>
        <v/>
      </c>
    </row>
    <row r="39" customFormat="false" ht="15" hidden="false" customHeight="false" outlineLevel="0" collapsed="false">
      <c r="A39" s="31" t="str">
        <f aca="false">IF(Projects!$C$39="","",Projects!$A$39)</f>
        <v/>
      </c>
      <c r="B39" s="44" t="str">
        <f aca="false">IF(Projects!$C$39="","",Projects!$B$39)</f>
        <v/>
      </c>
      <c r="C39" s="44" t="str">
        <f aca="false">IF(Projects!$C$39="","",Projects!$C$39)</f>
        <v/>
      </c>
      <c r="D39" s="45" t="str">
        <f aca="false">IF(Projects!$C$39="","",Projects!$G$39)</f>
        <v/>
      </c>
      <c r="E39" s="46" t="str">
        <f aca="false">IF(Projects!$C$39="","",SUMIFS('Time Entry'!$G$4:$G$1003,'Time Entry'!$E$4:$E$1003,Projects!$C$39))</f>
        <v/>
      </c>
      <c r="F39" s="45" t="str">
        <f aca="false">IF(Projects!$C$39="","",SUMIFS('Time Entry'!$J$4:$J$1003,'Time Entry'!$E$4:$E$1003,Projects!$C$39))</f>
        <v/>
      </c>
      <c r="G39" s="45" t="str">
        <f aca="false">IF(Projects!$C$39="","",SUMIFS('Time Entry'!$K$4:$K$1003,'Time Entry'!$E$4:$E$1003,Projects!$C$39))</f>
        <v/>
      </c>
      <c r="H39" s="45" t="str">
        <f aca="false">IF(Projects!$C$39="","",F39-G39)</f>
        <v/>
      </c>
      <c r="I39" s="45" t="str">
        <f aca="false">IF(Projects!$C$39="","",SUMIFS(Invoices!$G$4:$G$203,Invoices!$D$4:$D$203,Projects!$C$39))</f>
        <v/>
      </c>
      <c r="J39" s="45" t="str">
        <f aca="false">IF(Projects!$C$39="","",F39-I39)</f>
        <v/>
      </c>
      <c r="K39" s="47" t="str">
        <f aca="false">IF(OR(Projects!$C$39="",Projects!$G$39=0,Projects!$G$39=""),"",F39/Projects!$G$39)</f>
        <v/>
      </c>
    </row>
    <row r="40" customFormat="false" ht="15" hidden="false" customHeight="false" outlineLevel="0" collapsed="false">
      <c r="A40" s="23" t="str">
        <f aca="false">IF(Projects!$C$40="","",Projects!$A$40)</f>
        <v/>
      </c>
      <c r="B40" s="40" t="str">
        <f aca="false">IF(Projects!$C$40="","",Projects!$B$40)</f>
        <v/>
      </c>
      <c r="C40" s="40" t="str">
        <f aca="false">IF(Projects!$C$40="","",Projects!$C$40)</f>
        <v/>
      </c>
      <c r="D40" s="41" t="str">
        <f aca="false">IF(Projects!$C$40="","",Projects!$G$40)</f>
        <v/>
      </c>
      <c r="E40" s="42" t="str">
        <f aca="false">IF(Projects!$C$40="","",SUMIFS('Time Entry'!$G$4:$G$1003,'Time Entry'!$E$4:$E$1003,Projects!$C$40))</f>
        <v/>
      </c>
      <c r="F40" s="41" t="str">
        <f aca="false">IF(Projects!$C$40="","",SUMIFS('Time Entry'!$J$4:$J$1003,'Time Entry'!$E$4:$E$1003,Projects!$C$40))</f>
        <v/>
      </c>
      <c r="G40" s="41" t="str">
        <f aca="false">IF(Projects!$C$40="","",SUMIFS('Time Entry'!$K$4:$K$1003,'Time Entry'!$E$4:$E$1003,Projects!$C$40))</f>
        <v/>
      </c>
      <c r="H40" s="41" t="str">
        <f aca="false">IF(Projects!$C$40="","",F40-G40)</f>
        <v/>
      </c>
      <c r="I40" s="41" t="str">
        <f aca="false">IF(Projects!$C$40="","",SUMIFS(Invoices!$G$4:$G$203,Invoices!$D$4:$D$203,Projects!$C$40))</f>
        <v/>
      </c>
      <c r="J40" s="41" t="str">
        <f aca="false">IF(Projects!$C$40="","",F40-I40)</f>
        <v/>
      </c>
      <c r="K40" s="43" t="str">
        <f aca="false">IF(OR(Projects!$C$40="",Projects!$G$40=0,Projects!$G$40=""),"",F40/Projects!$G$40)</f>
        <v/>
      </c>
    </row>
    <row r="41" customFormat="false" ht="15" hidden="false" customHeight="false" outlineLevel="0" collapsed="false">
      <c r="A41" s="31" t="str">
        <f aca="false">IF(Projects!$C$41="","",Projects!$A$41)</f>
        <v/>
      </c>
      <c r="B41" s="44" t="str">
        <f aca="false">IF(Projects!$C$41="","",Projects!$B$41)</f>
        <v/>
      </c>
      <c r="C41" s="44" t="str">
        <f aca="false">IF(Projects!$C$41="","",Projects!$C$41)</f>
        <v/>
      </c>
      <c r="D41" s="45" t="str">
        <f aca="false">IF(Projects!$C$41="","",Projects!$G$41)</f>
        <v/>
      </c>
      <c r="E41" s="46" t="str">
        <f aca="false">IF(Projects!$C$41="","",SUMIFS('Time Entry'!$G$4:$G$1003,'Time Entry'!$E$4:$E$1003,Projects!$C$41))</f>
        <v/>
      </c>
      <c r="F41" s="45" t="str">
        <f aca="false">IF(Projects!$C$41="","",SUMIFS('Time Entry'!$J$4:$J$1003,'Time Entry'!$E$4:$E$1003,Projects!$C$41))</f>
        <v/>
      </c>
      <c r="G41" s="45" t="str">
        <f aca="false">IF(Projects!$C$41="","",SUMIFS('Time Entry'!$K$4:$K$1003,'Time Entry'!$E$4:$E$1003,Projects!$C$41))</f>
        <v/>
      </c>
      <c r="H41" s="45" t="str">
        <f aca="false">IF(Projects!$C$41="","",F41-G41)</f>
        <v/>
      </c>
      <c r="I41" s="45" t="str">
        <f aca="false">IF(Projects!$C$41="","",SUMIFS(Invoices!$G$4:$G$203,Invoices!$D$4:$D$203,Projects!$C$41))</f>
        <v/>
      </c>
      <c r="J41" s="45" t="str">
        <f aca="false">IF(Projects!$C$41="","",F41-I41)</f>
        <v/>
      </c>
      <c r="K41" s="47" t="str">
        <f aca="false">IF(OR(Projects!$C$41="",Projects!$G$41=0,Projects!$G$41=""),"",F41/Projects!$G$41)</f>
        <v/>
      </c>
    </row>
    <row r="42" customFormat="false" ht="15" hidden="false" customHeight="false" outlineLevel="0" collapsed="false">
      <c r="A42" s="23" t="str">
        <f aca="false">IF(Projects!$C$42="","",Projects!$A$42)</f>
        <v/>
      </c>
      <c r="B42" s="40" t="str">
        <f aca="false">IF(Projects!$C$42="","",Projects!$B$42)</f>
        <v/>
      </c>
      <c r="C42" s="40" t="str">
        <f aca="false">IF(Projects!$C$42="","",Projects!$C$42)</f>
        <v/>
      </c>
      <c r="D42" s="41" t="str">
        <f aca="false">IF(Projects!$C$42="","",Projects!$G$42)</f>
        <v/>
      </c>
      <c r="E42" s="42" t="str">
        <f aca="false">IF(Projects!$C$42="","",SUMIFS('Time Entry'!$G$4:$G$1003,'Time Entry'!$E$4:$E$1003,Projects!$C$42))</f>
        <v/>
      </c>
      <c r="F42" s="41" t="str">
        <f aca="false">IF(Projects!$C$42="","",SUMIFS('Time Entry'!$J$4:$J$1003,'Time Entry'!$E$4:$E$1003,Projects!$C$42))</f>
        <v/>
      </c>
      <c r="G42" s="41" t="str">
        <f aca="false">IF(Projects!$C$42="","",SUMIFS('Time Entry'!$K$4:$K$1003,'Time Entry'!$E$4:$E$1003,Projects!$C$42))</f>
        <v/>
      </c>
      <c r="H42" s="41" t="str">
        <f aca="false">IF(Projects!$C$42="","",F42-G42)</f>
        <v/>
      </c>
      <c r="I42" s="41" t="str">
        <f aca="false">IF(Projects!$C$42="","",SUMIFS(Invoices!$G$4:$G$203,Invoices!$D$4:$D$203,Projects!$C$42))</f>
        <v/>
      </c>
      <c r="J42" s="41" t="str">
        <f aca="false">IF(Projects!$C$42="","",F42-I42)</f>
        <v/>
      </c>
      <c r="K42" s="43" t="str">
        <f aca="false">IF(OR(Projects!$C$42="",Projects!$G$42=0,Projects!$G$42=""),"",F42/Projects!$G$42)</f>
        <v/>
      </c>
    </row>
    <row r="43" customFormat="false" ht="15" hidden="false" customHeight="false" outlineLevel="0" collapsed="false">
      <c r="A43" s="31" t="str">
        <f aca="false">IF(Projects!$C$43="","",Projects!$A$43)</f>
        <v/>
      </c>
      <c r="B43" s="44" t="str">
        <f aca="false">IF(Projects!$C$43="","",Projects!$B$43)</f>
        <v/>
      </c>
      <c r="C43" s="44" t="str">
        <f aca="false">IF(Projects!$C$43="","",Projects!$C$43)</f>
        <v/>
      </c>
      <c r="D43" s="45" t="str">
        <f aca="false">IF(Projects!$C$43="","",Projects!$G$43)</f>
        <v/>
      </c>
      <c r="E43" s="46" t="str">
        <f aca="false">IF(Projects!$C$43="","",SUMIFS('Time Entry'!$G$4:$G$1003,'Time Entry'!$E$4:$E$1003,Projects!$C$43))</f>
        <v/>
      </c>
      <c r="F43" s="45" t="str">
        <f aca="false">IF(Projects!$C$43="","",SUMIFS('Time Entry'!$J$4:$J$1003,'Time Entry'!$E$4:$E$1003,Projects!$C$43))</f>
        <v/>
      </c>
      <c r="G43" s="45" t="str">
        <f aca="false">IF(Projects!$C$43="","",SUMIFS('Time Entry'!$K$4:$K$1003,'Time Entry'!$E$4:$E$1003,Projects!$C$43))</f>
        <v/>
      </c>
      <c r="H43" s="45" t="str">
        <f aca="false">IF(Projects!$C$43="","",F43-G43)</f>
        <v/>
      </c>
      <c r="I43" s="45" t="str">
        <f aca="false">IF(Projects!$C$43="","",SUMIFS(Invoices!$G$4:$G$203,Invoices!$D$4:$D$203,Projects!$C$43))</f>
        <v/>
      </c>
      <c r="J43" s="45" t="str">
        <f aca="false">IF(Projects!$C$43="","",F43-I43)</f>
        <v/>
      </c>
      <c r="K43" s="47" t="str">
        <f aca="false">IF(OR(Projects!$C$43="",Projects!$G$43=0,Projects!$G$43=""),"",F43/Projects!$G$43)</f>
        <v/>
      </c>
    </row>
    <row r="44" customFormat="false" ht="15" hidden="false" customHeight="false" outlineLevel="0" collapsed="false">
      <c r="A44" s="23" t="str">
        <f aca="false">IF(Projects!$C$44="","",Projects!$A$44)</f>
        <v/>
      </c>
      <c r="B44" s="40" t="str">
        <f aca="false">IF(Projects!$C$44="","",Projects!$B$44)</f>
        <v/>
      </c>
      <c r="C44" s="40" t="str">
        <f aca="false">IF(Projects!$C$44="","",Projects!$C$44)</f>
        <v/>
      </c>
      <c r="D44" s="41" t="str">
        <f aca="false">IF(Projects!$C$44="","",Projects!$G$44)</f>
        <v/>
      </c>
      <c r="E44" s="42" t="str">
        <f aca="false">IF(Projects!$C$44="","",SUMIFS('Time Entry'!$G$4:$G$1003,'Time Entry'!$E$4:$E$1003,Projects!$C$44))</f>
        <v/>
      </c>
      <c r="F44" s="41" t="str">
        <f aca="false">IF(Projects!$C$44="","",SUMIFS('Time Entry'!$J$4:$J$1003,'Time Entry'!$E$4:$E$1003,Projects!$C$44))</f>
        <v/>
      </c>
      <c r="G44" s="41" t="str">
        <f aca="false">IF(Projects!$C$44="","",SUMIFS('Time Entry'!$K$4:$K$1003,'Time Entry'!$E$4:$E$1003,Projects!$C$44))</f>
        <v/>
      </c>
      <c r="H44" s="41" t="str">
        <f aca="false">IF(Projects!$C$44="","",F44-G44)</f>
        <v/>
      </c>
      <c r="I44" s="41" t="str">
        <f aca="false">IF(Projects!$C$44="","",SUMIFS(Invoices!$G$4:$G$203,Invoices!$D$4:$D$203,Projects!$C$44))</f>
        <v/>
      </c>
      <c r="J44" s="41" t="str">
        <f aca="false">IF(Projects!$C$44="","",F44-I44)</f>
        <v/>
      </c>
      <c r="K44" s="43" t="str">
        <f aca="false">IF(OR(Projects!$C$44="",Projects!$G$44=0,Projects!$G$44=""),"",F44/Projects!$G$44)</f>
        <v/>
      </c>
    </row>
    <row r="45" customFormat="false" ht="15" hidden="false" customHeight="false" outlineLevel="0" collapsed="false">
      <c r="A45" s="31" t="str">
        <f aca="false">IF(Projects!$C$45="","",Projects!$A$45)</f>
        <v/>
      </c>
      <c r="B45" s="44" t="str">
        <f aca="false">IF(Projects!$C$45="","",Projects!$B$45)</f>
        <v/>
      </c>
      <c r="C45" s="44" t="str">
        <f aca="false">IF(Projects!$C$45="","",Projects!$C$45)</f>
        <v/>
      </c>
      <c r="D45" s="45" t="str">
        <f aca="false">IF(Projects!$C$45="","",Projects!$G$45)</f>
        <v/>
      </c>
      <c r="E45" s="46" t="str">
        <f aca="false">IF(Projects!$C$45="","",SUMIFS('Time Entry'!$G$4:$G$1003,'Time Entry'!$E$4:$E$1003,Projects!$C$45))</f>
        <v/>
      </c>
      <c r="F45" s="45" t="str">
        <f aca="false">IF(Projects!$C$45="","",SUMIFS('Time Entry'!$J$4:$J$1003,'Time Entry'!$E$4:$E$1003,Projects!$C$45))</f>
        <v/>
      </c>
      <c r="G45" s="45" t="str">
        <f aca="false">IF(Projects!$C$45="","",SUMIFS('Time Entry'!$K$4:$K$1003,'Time Entry'!$E$4:$E$1003,Projects!$C$45))</f>
        <v/>
      </c>
      <c r="H45" s="45" t="str">
        <f aca="false">IF(Projects!$C$45="","",F45-G45)</f>
        <v/>
      </c>
      <c r="I45" s="45" t="str">
        <f aca="false">IF(Projects!$C$45="","",SUMIFS(Invoices!$G$4:$G$203,Invoices!$D$4:$D$203,Projects!$C$45))</f>
        <v/>
      </c>
      <c r="J45" s="45" t="str">
        <f aca="false">IF(Projects!$C$45="","",F45-I45)</f>
        <v/>
      </c>
      <c r="K45" s="47" t="str">
        <f aca="false">IF(OR(Projects!$C$45="",Projects!$G$45=0,Projects!$G$45=""),"",F45/Projects!$G$45)</f>
        <v/>
      </c>
    </row>
    <row r="46" customFormat="false" ht="15" hidden="false" customHeight="false" outlineLevel="0" collapsed="false">
      <c r="A46" s="23" t="str">
        <f aca="false">IF(Projects!$C$46="","",Projects!$A$46)</f>
        <v/>
      </c>
      <c r="B46" s="40" t="str">
        <f aca="false">IF(Projects!$C$46="","",Projects!$B$46)</f>
        <v/>
      </c>
      <c r="C46" s="40" t="str">
        <f aca="false">IF(Projects!$C$46="","",Projects!$C$46)</f>
        <v/>
      </c>
      <c r="D46" s="41" t="str">
        <f aca="false">IF(Projects!$C$46="","",Projects!$G$46)</f>
        <v/>
      </c>
      <c r="E46" s="42" t="str">
        <f aca="false">IF(Projects!$C$46="","",SUMIFS('Time Entry'!$G$4:$G$1003,'Time Entry'!$E$4:$E$1003,Projects!$C$46))</f>
        <v/>
      </c>
      <c r="F46" s="41" t="str">
        <f aca="false">IF(Projects!$C$46="","",SUMIFS('Time Entry'!$J$4:$J$1003,'Time Entry'!$E$4:$E$1003,Projects!$C$46))</f>
        <v/>
      </c>
      <c r="G46" s="41" t="str">
        <f aca="false">IF(Projects!$C$46="","",SUMIFS('Time Entry'!$K$4:$K$1003,'Time Entry'!$E$4:$E$1003,Projects!$C$46))</f>
        <v/>
      </c>
      <c r="H46" s="41" t="str">
        <f aca="false">IF(Projects!$C$46="","",F46-G46)</f>
        <v/>
      </c>
      <c r="I46" s="41" t="str">
        <f aca="false">IF(Projects!$C$46="","",SUMIFS(Invoices!$G$4:$G$203,Invoices!$D$4:$D$203,Projects!$C$46))</f>
        <v/>
      </c>
      <c r="J46" s="41" t="str">
        <f aca="false">IF(Projects!$C$46="","",F46-I46)</f>
        <v/>
      </c>
      <c r="K46" s="43" t="str">
        <f aca="false">IF(OR(Projects!$C$46="",Projects!$G$46=0,Projects!$G$46=""),"",F46/Projects!$G$46)</f>
        <v/>
      </c>
    </row>
    <row r="47" customFormat="false" ht="15" hidden="false" customHeight="false" outlineLevel="0" collapsed="false">
      <c r="A47" s="31" t="str">
        <f aca="false">IF(Projects!$C$47="","",Projects!$A$47)</f>
        <v/>
      </c>
      <c r="B47" s="44" t="str">
        <f aca="false">IF(Projects!$C$47="","",Projects!$B$47)</f>
        <v/>
      </c>
      <c r="C47" s="44" t="str">
        <f aca="false">IF(Projects!$C$47="","",Projects!$C$47)</f>
        <v/>
      </c>
      <c r="D47" s="45" t="str">
        <f aca="false">IF(Projects!$C$47="","",Projects!$G$47)</f>
        <v/>
      </c>
      <c r="E47" s="46" t="str">
        <f aca="false">IF(Projects!$C$47="","",SUMIFS('Time Entry'!$G$4:$G$1003,'Time Entry'!$E$4:$E$1003,Projects!$C$47))</f>
        <v/>
      </c>
      <c r="F47" s="45" t="str">
        <f aca="false">IF(Projects!$C$47="","",SUMIFS('Time Entry'!$J$4:$J$1003,'Time Entry'!$E$4:$E$1003,Projects!$C$47))</f>
        <v/>
      </c>
      <c r="G47" s="45" t="str">
        <f aca="false">IF(Projects!$C$47="","",SUMIFS('Time Entry'!$K$4:$K$1003,'Time Entry'!$E$4:$E$1003,Projects!$C$47))</f>
        <v/>
      </c>
      <c r="H47" s="45" t="str">
        <f aca="false">IF(Projects!$C$47="","",F47-G47)</f>
        <v/>
      </c>
      <c r="I47" s="45" t="str">
        <f aca="false">IF(Projects!$C$47="","",SUMIFS(Invoices!$G$4:$G$203,Invoices!$D$4:$D$203,Projects!$C$47))</f>
        <v/>
      </c>
      <c r="J47" s="45" t="str">
        <f aca="false">IF(Projects!$C$47="","",F47-I47)</f>
        <v/>
      </c>
      <c r="K47" s="47" t="str">
        <f aca="false">IF(OR(Projects!$C$47="",Projects!$G$47=0,Projects!$G$47=""),"",F47/Projects!$G$47)</f>
        <v/>
      </c>
    </row>
    <row r="48" customFormat="false" ht="15" hidden="false" customHeight="false" outlineLevel="0" collapsed="false">
      <c r="A48" s="23" t="str">
        <f aca="false">IF(Projects!$C$48="","",Projects!$A$48)</f>
        <v/>
      </c>
      <c r="B48" s="40" t="str">
        <f aca="false">IF(Projects!$C$48="","",Projects!$B$48)</f>
        <v/>
      </c>
      <c r="C48" s="40" t="str">
        <f aca="false">IF(Projects!$C$48="","",Projects!$C$48)</f>
        <v/>
      </c>
      <c r="D48" s="41" t="str">
        <f aca="false">IF(Projects!$C$48="","",Projects!$G$48)</f>
        <v/>
      </c>
      <c r="E48" s="42" t="str">
        <f aca="false">IF(Projects!$C$48="","",SUMIFS('Time Entry'!$G$4:$G$1003,'Time Entry'!$E$4:$E$1003,Projects!$C$48))</f>
        <v/>
      </c>
      <c r="F48" s="41" t="str">
        <f aca="false">IF(Projects!$C$48="","",SUMIFS('Time Entry'!$J$4:$J$1003,'Time Entry'!$E$4:$E$1003,Projects!$C$48))</f>
        <v/>
      </c>
      <c r="G48" s="41" t="str">
        <f aca="false">IF(Projects!$C$48="","",SUMIFS('Time Entry'!$K$4:$K$1003,'Time Entry'!$E$4:$E$1003,Projects!$C$48))</f>
        <v/>
      </c>
      <c r="H48" s="41" t="str">
        <f aca="false">IF(Projects!$C$48="","",F48-G48)</f>
        <v/>
      </c>
      <c r="I48" s="41" t="str">
        <f aca="false">IF(Projects!$C$48="","",SUMIFS(Invoices!$G$4:$G$203,Invoices!$D$4:$D$203,Projects!$C$48))</f>
        <v/>
      </c>
      <c r="J48" s="41" t="str">
        <f aca="false">IF(Projects!$C$48="","",F48-I48)</f>
        <v/>
      </c>
      <c r="K48" s="43" t="str">
        <f aca="false">IF(OR(Projects!$C$48="",Projects!$G$48=0,Projects!$G$48=""),"",F48/Projects!$G$48)</f>
        <v/>
      </c>
    </row>
    <row r="49" customFormat="false" ht="15" hidden="false" customHeight="false" outlineLevel="0" collapsed="false">
      <c r="A49" s="31" t="str">
        <f aca="false">IF(Projects!$C$49="","",Projects!$A$49)</f>
        <v/>
      </c>
      <c r="B49" s="44" t="str">
        <f aca="false">IF(Projects!$C$49="","",Projects!$B$49)</f>
        <v/>
      </c>
      <c r="C49" s="44" t="str">
        <f aca="false">IF(Projects!$C$49="","",Projects!$C$49)</f>
        <v/>
      </c>
      <c r="D49" s="45" t="str">
        <f aca="false">IF(Projects!$C$49="","",Projects!$G$49)</f>
        <v/>
      </c>
      <c r="E49" s="46" t="str">
        <f aca="false">IF(Projects!$C$49="","",SUMIFS('Time Entry'!$G$4:$G$1003,'Time Entry'!$E$4:$E$1003,Projects!$C$49))</f>
        <v/>
      </c>
      <c r="F49" s="45" t="str">
        <f aca="false">IF(Projects!$C$49="","",SUMIFS('Time Entry'!$J$4:$J$1003,'Time Entry'!$E$4:$E$1003,Projects!$C$49))</f>
        <v/>
      </c>
      <c r="G49" s="45" t="str">
        <f aca="false">IF(Projects!$C$49="","",SUMIFS('Time Entry'!$K$4:$K$1003,'Time Entry'!$E$4:$E$1003,Projects!$C$49))</f>
        <v/>
      </c>
      <c r="H49" s="45" t="str">
        <f aca="false">IF(Projects!$C$49="","",F49-G49)</f>
        <v/>
      </c>
      <c r="I49" s="45" t="str">
        <f aca="false">IF(Projects!$C$49="","",SUMIFS(Invoices!$G$4:$G$203,Invoices!$D$4:$D$203,Projects!$C$49))</f>
        <v/>
      </c>
      <c r="J49" s="45" t="str">
        <f aca="false">IF(Projects!$C$49="","",F49-I49)</f>
        <v/>
      </c>
      <c r="K49" s="47" t="str">
        <f aca="false">IF(OR(Projects!$C$49="",Projects!$G$49=0,Projects!$G$49=""),"",F49/Projects!$G$49)</f>
        <v/>
      </c>
    </row>
    <row r="50" customFormat="false" ht="15" hidden="false" customHeight="false" outlineLevel="0" collapsed="false">
      <c r="A50" s="23" t="str">
        <f aca="false">IF(Projects!$C$50="","",Projects!$A$50)</f>
        <v/>
      </c>
      <c r="B50" s="40" t="str">
        <f aca="false">IF(Projects!$C$50="","",Projects!$B$50)</f>
        <v/>
      </c>
      <c r="C50" s="40" t="str">
        <f aca="false">IF(Projects!$C$50="","",Projects!$C$50)</f>
        <v/>
      </c>
      <c r="D50" s="41" t="str">
        <f aca="false">IF(Projects!$C$50="","",Projects!$G$50)</f>
        <v/>
      </c>
      <c r="E50" s="42" t="str">
        <f aca="false">IF(Projects!$C$50="","",SUMIFS('Time Entry'!$G$4:$G$1003,'Time Entry'!$E$4:$E$1003,Projects!$C$50))</f>
        <v/>
      </c>
      <c r="F50" s="41" t="str">
        <f aca="false">IF(Projects!$C$50="","",SUMIFS('Time Entry'!$J$4:$J$1003,'Time Entry'!$E$4:$E$1003,Projects!$C$50))</f>
        <v/>
      </c>
      <c r="G50" s="41" t="str">
        <f aca="false">IF(Projects!$C$50="","",SUMIFS('Time Entry'!$K$4:$K$1003,'Time Entry'!$E$4:$E$1003,Projects!$C$50))</f>
        <v/>
      </c>
      <c r="H50" s="41" t="str">
        <f aca="false">IF(Projects!$C$50="","",F50-G50)</f>
        <v/>
      </c>
      <c r="I50" s="41" t="str">
        <f aca="false">IF(Projects!$C$50="","",SUMIFS(Invoices!$G$4:$G$203,Invoices!$D$4:$D$203,Projects!$C$50))</f>
        <v/>
      </c>
      <c r="J50" s="41" t="str">
        <f aca="false">IF(Projects!$C$50="","",F50-I50)</f>
        <v/>
      </c>
      <c r="K50" s="43" t="str">
        <f aca="false">IF(OR(Projects!$C$50="",Projects!$G$50=0,Projects!$G$50=""),"",F50/Projects!$G$50)</f>
        <v/>
      </c>
    </row>
    <row r="51" customFormat="false" ht="15" hidden="false" customHeight="false" outlineLevel="0" collapsed="false">
      <c r="A51" s="31" t="str">
        <f aca="false">IF(Projects!$C$51="","",Projects!$A$51)</f>
        <v/>
      </c>
      <c r="B51" s="44" t="str">
        <f aca="false">IF(Projects!$C$51="","",Projects!$B$51)</f>
        <v/>
      </c>
      <c r="C51" s="44" t="str">
        <f aca="false">IF(Projects!$C$51="","",Projects!$C$51)</f>
        <v/>
      </c>
      <c r="D51" s="45" t="str">
        <f aca="false">IF(Projects!$C$51="","",Projects!$G$51)</f>
        <v/>
      </c>
      <c r="E51" s="46" t="str">
        <f aca="false">IF(Projects!$C$51="","",SUMIFS('Time Entry'!$G$4:$G$1003,'Time Entry'!$E$4:$E$1003,Projects!$C$51))</f>
        <v/>
      </c>
      <c r="F51" s="45" t="str">
        <f aca="false">IF(Projects!$C$51="","",SUMIFS('Time Entry'!$J$4:$J$1003,'Time Entry'!$E$4:$E$1003,Projects!$C$51))</f>
        <v/>
      </c>
      <c r="G51" s="45" t="str">
        <f aca="false">IF(Projects!$C$51="","",SUMIFS('Time Entry'!$K$4:$K$1003,'Time Entry'!$E$4:$E$1003,Projects!$C$51))</f>
        <v/>
      </c>
      <c r="H51" s="45" t="str">
        <f aca="false">IF(Projects!$C$51="","",F51-G51)</f>
        <v/>
      </c>
      <c r="I51" s="45" t="str">
        <f aca="false">IF(Projects!$C$51="","",SUMIFS(Invoices!$G$4:$G$203,Invoices!$D$4:$D$203,Projects!$C$51))</f>
        <v/>
      </c>
      <c r="J51" s="45" t="str">
        <f aca="false">IF(Projects!$C$51="","",F51-I51)</f>
        <v/>
      </c>
      <c r="K51" s="47" t="str">
        <f aca="false">IF(OR(Projects!$C$51="",Projects!$G$51=0,Projects!$G$51=""),"",F51/Projects!$G$51)</f>
        <v/>
      </c>
    </row>
    <row r="52" customFormat="false" ht="15" hidden="false" customHeight="false" outlineLevel="0" collapsed="false">
      <c r="A52" s="23" t="str">
        <f aca="false">IF(Projects!$C$52="","",Projects!$A$52)</f>
        <v/>
      </c>
      <c r="B52" s="40" t="str">
        <f aca="false">IF(Projects!$C$52="","",Projects!$B$52)</f>
        <v/>
      </c>
      <c r="C52" s="40" t="str">
        <f aca="false">IF(Projects!$C$52="","",Projects!$C$52)</f>
        <v/>
      </c>
      <c r="D52" s="41" t="str">
        <f aca="false">IF(Projects!$C$52="","",Projects!$G$52)</f>
        <v/>
      </c>
      <c r="E52" s="42" t="str">
        <f aca="false">IF(Projects!$C$52="","",SUMIFS('Time Entry'!$G$4:$G$1003,'Time Entry'!$E$4:$E$1003,Projects!$C$52))</f>
        <v/>
      </c>
      <c r="F52" s="41" t="str">
        <f aca="false">IF(Projects!$C$52="","",SUMIFS('Time Entry'!$J$4:$J$1003,'Time Entry'!$E$4:$E$1003,Projects!$C$52))</f>
        <v/>
      </c>
      <c r="G52" s="41" t="str">
        <f aca="false">IF(Projects!$C$52="","",SUMIFS('Time Entry'!$K$4:$K$1003,'Time Entry'!$E$4:$E$1003,Projects!$C$52))</f>
        <v/>
      </c>
      <c r="H52" s="41" t="str">
        <f aca="false">IF(Projects!$C$52="","",F52-G52)</f>
        <v/>
      </c>
      <c r="I52" s="41" t="str">
        <f aca="false">IF(Projects!$C$52="","",SUMIFS(Invoices!$G$4:$G$203,Invoices!$D$4:$D$203,Projects!$C$52))</f>
        <v/>
      </c>
      <c r="J52" s="41" t="str">
        <f aca="false">IF(Projects!$C$52="","",F52-I52)</f>
        <v/>
      </c>
      <c r="K52" s="43" t="str">
        <f aca="false">IF(OR(Projects!$C$52="",Projects!$G$52=0,Projects!$G$52=""),"",F52/Projects!$G$52)</f>
        <v/>
      </c>
    </row>
    <row r="53" customFormat="false" ht="15" hidden="false" customHeight="false" outlineLevel="0" collapsed="false">
      <c r="A53" s="31" t="str">
        <f aca="false">IF(Projects!$C$53="","",Projects!$A$53)</f>
        <v/>
      </c>
      <c r="B53" s="44" t="str">
        <f aca="false">IF(Projects!$C$53="","",Projects!$B$53)</f>
        <v/>
      </c>
      <c r="C53" s="44" t="str">
        <f aca="false">IF(Projects!$C$53="","",Projects!$C$53)</f>
        <v/>
      </c>
      <c r="D53" s="45" t="str">
        <f aca="false">IF(Projects!$C$53="","",Projects!$G$53)</f>
        <v/>
      </c>
      <c r="E53" s="46" t="str">
        <f aca="false">IF(Projects!$C$53="","",SUMIFS('Time Entry'!$G$4:$G$1003,'Time Entry'!$E$4:$E$1003,Projects!$C$53))</f>
        <v/>
      </c>
      <c r="F53" s="45" t="str">
        <f aca="false">IF(Projects!$C$53="","",SUMIFS('Time Entry'!$J$4:$J$1003,'Time Entry'!$E$4:$E$1003,Projects!$C$53))</f>
        <v/>
      </c>
      <c r="G53" s="45" t="str">
        <f aca="false">IF(Projects!$C$53="","",SUMIFS('Time Entry'!$K$4:$K$1003,'Time Entry'!$E$4:$E$1003,Projects!$C$53))</f>
        <v/>
      </c>
      <c r="H53" s="45" t="str">
        <f aca="false">IF(Projects!$C$53="","",F53-G53)</f>
        <v/>
      </c>
      <c r="I53" s="45" t="str">
        <f aca="false">IF(Projects!$C$53="","",SUMIFS(Invoices!$G$4:$G$203,Invoices!$D$4:$D$203,Projects!$C$53))</f>
        <v/>
      </c>
      <c r="J53" s="45" t="str">
        <f aca="false">IF(Projects!$C$53="","",F53-I53)</f>
        <v/>
      </c>
      <c r="K53" s="47" t="str">
        <f aca="false">IF(OR(Projects!$C$53="",Projects!$G$53=0,Projects!$G$53=""),"",F53/Projects!$G$53)</f>
        <v/>
      </c>
    </row>
    <row r="54" customFormat="false" ht="15" hidden="false" customHeight="false" outlineLevel="0" collapsed="false">
      <c r="A54" s="23" t="str">
        <f aca="false">IF(Projects!$C$54="","",Projects!$A$54)</f>
        <v/>
      </c>
      <c r="B54" s="40" t="str">
        <f aca="false">IF(Projects!$C$54="","",Projects!$B$54)</f>
        <v/>
      </c>
      <c r="C54" s="40" t="str">
        <f aca="false">IF(Projects!$C$54="","",Projects!$C$54)</f>
        <v/>
      </c>
      <c r="D54" s="41" t="str">
        <f aca="false">IF(Projects!$C$54="","",Projects!$G$54)</f>
        <v/>
      </c>
      <c r="E54" s="42" t="str">
        <f aca="false">IF(Projects!$C$54="","",SUMIFS('Time Entry'!$G$4:$G$1003,'Time Entry'!$E$4:$E$1003,Projects!$C$54))</f>
        <v/>
      </c>
      <c r="F54" s="41" t="str">
        <f aca="false">IF(Projects!$C$54="","",SUMIFS('Time Entry'!$J$4:$J$1003,'Time Entry'!$E$4:$E$1003,Projects!$C$54))</f>
        <v/>
      </c>
      <c r="G54" s="41" t="str">
        <f aca="false">IF(Projects!$C$54="","",SUMIFS('Time Entry'!$K$4:$K$1003,'Time Entry'!$E$4:$E$1003,Projects!$C$54))</f>
        <v/>
      </c>
      <c r="H54" s="41" t="str">
        <f aca="false">IF(Projects!$C$54="","",F54-G54)</f>
        <v/>
      </c>
      <c r="I54" s="41" t="str">
        <f aca="false">IF(Projects!$C$54="","",SUMIFS(Invoices!$G$4:$G$203,Invoices!$D$4:$D$203,Projects!$C$54))</f>
        <v/>
      </c>
      <c r="J54" s="41" t="str">
        <f aca="false">IF(Projects!$C$54="","",F54-I54)</f>
        <v/>
      </c>
      <c r="K54" s="43" t="str">
        <f aca="false">IF(OR(Projects!$C$54="",Projects!$G$54=0,Projects!$G$54=""),"",F54/Projects!$G$54)</f>
        <v/>
      </c>
    </row>
    <row r="55" customFormat="false" ht="15" hidden="false" customHeight="false" outlineLevel="0" collapsed="false">
      <c r="A55" s="31" t="str">
        <f aca="false">IF(Projects!$C$55="","",Projects!$A$55)</f>
        <v/>
      </c>
      <c r="B55" s="44" t="str">
        <f aca="false">IF(Projects!$C$55="","",Projects!$B$55)</f>
        <v/>
      </c>
      <c r="C55" s="44" t="str">
        <f aca="false">IF(Projects!$C$55="","",Projects!$C$55)</f>
        <v/>
      </c>
      <c r="D55" s="45" t="str">
        <f aca="false">IF(Projects!$C$55="","",Projects!$G$55)</f>
        <v/>
      </c>
      <c r="E55" s="46" t="str">
        <f aca="false">IF(Projects!$C$55="","",SUMIFS('Time Entry'!$G$4:$G$1003,'Time Entry'!$E$4:$E$1003,Projects!$C$55))</f>
        <v/>
      </c>
      <c r="F55" s="45" t="str">
        <f aca="false">IF(Projects!$C$55="","",SUMIFS('Time Entry'!$J$4:$J$1003,'Time Entry'!$E$4:$E$1003,Projects!$C$55))</f>
        <v/>
      </c>
      <c r="G55" s="45" t="str">
        <f aca="false">IF(Projects!$C$55="","",SUMIFS('Time Entry'!$K$4:$K$1003,'Time Entry'!$E$4:$E$1003,Projects!$C$55))</f>
        <v/>
      </c>
      <c r="H55" s="45" t="str">
        <f aca="false">IF(Projects!$C$55="","",F55-G55)</f>
        <v/>
      </c>
      <c r="I55" s="45" t="str">
        <f aca="false">IF(Projects!$C$55="","",SUMIFS(Invoices!$G$4:$G$203,Invoices!$D$4:$D$203,Projects!$C$55))</f>
        <v/>
      </c>
      <c r="J55" s="45" t="str">
        <f aca="false">IF(Projects!$C$55="","",F55-I55)</f>
        <v/>
      </c>
      <c r="K55" s="47" t="str">
        <f aca="false">IF(OR(Projects!$C$55="",Projects!$G$55=0,Projects!$G$55=""),"",F55/Projects!$G$55)</f>
        <v/>
      </c>
    </row>
    <row r="56" customFormat="false" ht="15" hidden="false" customHeight="false" outlineLevel="0" collapsed="false">
      <c r="A56" s="23" t="str">
        <f aca="false">IF(Projects!$C$56="","",Projects!$A$56)</f>
        <v/>
      </c>
      <c r="B56" s="40" t="str">
        <f aca="false">IF(Projects!$C$56="","",Projects!$B$56)</f>
        <v/>
      </c>
      <c r="C56" s="40" t="str">
        <f aca="false">IF(Projects!$C$56="","",Projects!$C$56)</f>
        <v/>
      </c>
      <c r="D56" s="41" t="str">
        <f aca="false">IF(Projects!$C$56="","",Projects!$G$56)</f>
        <v/>
      </c>
      <c r="E56" s="42" t="str">
        <f aca="false">IF(Projects!$C$56="","",SUMIFS('Time Entry'!$G$4:$G$1003,'Time Entry'!$E$4:$E$1003,Projects!$C$56))</f>
        <v/>
      </c>
      <c r="F56" s="41" t="str">
        <f aca="false">IF(Projects!$C$56="","",SUMIFS('Time Entry'!$J$4:$J$1003,'Time Entry'!$E$4:$E$1003,Projects!$C$56))</f>
        <v/>
      </c>
      <c r="G56" s="41" t="str">
        <f aca="false">IF(Projects!$C$56="","",SUMIFS('Time Entry'!$K$4:$K$1003,'Time Entry'!$E$4:$E$1003,Projects!$C$56))</f>
        <v/>
      </c>
      <c r="H56" s="41" t="str">
        <f aca="false">IF(Projects!$C$56="","",F56-G56)</f>
        <v/>
      </c>
      <c r="I56" s="41" t="str">
        <f aca="false">IF(Projects!$C$56="","",SUMIFS(Invoices!$G$4:$G$203,Invoices!$D$4:$D$203,Projects!$C$56))</f>
        <v/>
      </c>
      <c r="J56" s="41" t="str">
        <f aca="false">IF(Projects!$C$56="","",F56-I56)</f>
        <v/>
      </c>
      <c r="K56" s="43" t="str">
        <f aca="false">IF(OR(Projects!$C$56="",Projects!$G$56=0,Projects!$G$56=""),"",F56/Projects!$G$56)</f>
        <v/>
      </c>
    </row>
    <row r="57" customFormat="false" ht="15" hidden="false" customHeight="false" outlineLevel="0" collapsed="false">
      <c r="A57" s="31" t="str">
        <f aca="false">IF(Projects!$C$57="","",Projects!$A$57)</f>
        <v/>
      </c>
      <c r="B57" s="44" t="str">
        <f aca="false">IF(Projects!$C$57="","",Projects!$B$57)</f>
        <v/>
      </c>
      <c r="C57" s="44" t="str">
        <f aca="false">IF(Projects!$C$57="","",Projects!$C$57)</f>
        <v/>
      </c>
      <c r="D57" s="45" t="str">
        <f aca="false">IF(Projects!$C$57="","",Projects!$G$57)</f>
        <v/>
      </c>
      <c r="E57" s="46" t="str">
        <f aca="false">IF(Projects!$C$57="","",SUMIFS('Time Entry'!$G$4:$G$1003,'Time Entry'!$E$4:$E$1003,Projects!$C$57))</f>
        <v/>
      </c>
      <c r="F57" s="45" t="str">
        <f aca="false">IF(Projects!$C$57="","",SUMIFS('Time Entry'!$J$4:$J$1003,'Time Entry'!$E$4:$E$1003,Projects!$C$57))</f>
        <v/>
      </c>
      <c r="G57" s="45" t="str">
        <f aca="false">IF(Projects!$C$57="","",SUMIFS('Time Entry'!$K$4:$K$1003,'Time Entry'!$E$4:$E$1003,Projects!$C$57))</f>
        <v/>
      </c>
      <c r="H57" s="45" t="str">
        <f aca="false">IF(Projects!$C$57="","",F57-G57)</f>
        <v/>
      </c>
      <c r="I57" s="45" t="str">
        <f aca="false">IF(Projects!$C$57="","",SUMIFS(Invoices!$G$4:$G$203,Invoices!$D$4:$D$203,Projects!$C$57))</f>
        <v/>
      </c>
      <c r="J57" s="45" t="str">
        <f aca="false">IF(Projects!$C$57="","",F57-I57)</f>
        <v/>
      </c>
      <c r="K57" s="47" t="str">
        <f aca="false">IF(OR(Projects!$C$57="",Projects!$G$57=0,Projects!$G$57=""),"",F57/Projects!$G$57)</f>
        <v/>
      </c>
    </row>
    <row r="58" customFormat="false" ht="15" hidden="false" customHeight="false" outlineLevel="0" collapsed="false">
      <c r="A58" s="23" t="str">
        <f aca="false">IF(Projects!$C$58="","",Projects!$A$58)</f>
        <v/>
      </c>
      <c r="B58" s="40" t="str">
        <f aca="false">IF(Projects!$C$58="","",Projects!$B$58)</f>
        <v/>
      </c>
      <c r="C58" s="40" t="str">
        <f aca="false">IF(Projects!$C$58="","",Projects!$C$58)</f>
        <v/>
      </c>
      <c r="D58" s="41" t="str">
        <f aca="false">IF(Projects!$C$58="","",Projects!$G$58)</f>
        <v/>
      </c>
      <c r="E58" s="42" t="str">
        <f aca="false">IF(Projects!$C$58="","",SUMIFS('Time Entry'!$G$4:$G$1003,'Time Entry'!$E$4:$E$1003,Projects!$C$58))</f>
        <v/>
      </c>
      <c r="F58" s="41" t="str">
        <f aca="false">IF(Projects!$C$58="","",SUMIFS('Time Entry'!$J$4:$J$1003,'Time Entry'!$E$4:$E$1003,Projects!$C$58))</f>
        <v/>
      </c>
      <c r="G58" s="41" t="str">
        <f aca="false">IF(Projects!$C$58="","",SUMIFS('Time Entry'!$K$4:$K$1003,'Time Entry'!$E$4:$E$1003,Projects!$C$58))</f>
        <v/>
      </c>
      <c r="H58" s="41" t="str">
        <f aca="false">IF(Projects!$C$58="","",F58-G58)</f>
        <v/>
      </c>
      <c r="I58" s="41" t="str">
        <f aca="false">IF(Projects!$C$58="","",SUMIFS(Invoices!$G$4:$G$203,Invoices!$D$4:$D$203,Projects!$C$58))</f>
        <v/>
      </c>
      <c r="J58" s="41" t="str">
        <f aca="false">IF(Projects!$C$58="","",F58-I58)</f>
        <v/>
      </c>
      <c r="K58" s="43" t="str">
        <f aca="false">IF(OR(Projects!$C$58="",Projects!$G$58=0,Projects!$G$58=""),"",F58/Projects!$G$58)</f>
        <v/>
      </c>
    </row>
    <row r="59" customFormat="false" ht="15" hidden="false" customHeight="false" outlineLevel="0" collapsed="false">
      <c r="A59" s="31" t="str">
        <f aca="false">IF(Projects!$C$59="","",Projects!$A$59)</f>
        <v/>
      </c>
      <c r="B59" s="44" t="str">
        <f aca="false">IF(Projects!$C$59="","",Projects!$B$59)</f>
        <v/>
      </c>
      <c r="C59" s="44" t="str">
        <f aca="false">IF(Projects!$C$59="","",Projects!$C$59)</f>
        <v/>
      </c>
      <c r="D59" s="45" t="str">
        <f aca="false">IF(Projects!$C$59="","",Projects!$G$59)</f>
        <v/>
      </c>
      <c r="E59" s="46" t="str">
        <f aca="false">IF(Projects!$C$59="","",SUMIFS('Time Entry'!$G$4:$G$1003,'Time Entry'!$E$4:$E$1003,Projects!$C$59))</f>
        <v/>
      </c>
      <c r="F59" s="45" t="str">
        <f aca="false">IF(Projects!$C$59="","",SUMIFS('Time Entry'!$J$4:$J$1003,'Time Entry'!$E$4:$E$1003,Projects!$C$59))</f>
        <v/>
      </c>
      <c r="G59" s="45" t="str">
        <f aca="false">IF(Projects!$C$59="","",SUMIFS('Time Entry'!$K$4:$K$1003,'Time Entry'!$E$4:$E$1003,Projects!$C$59))</f>
        <v/>
      </c>
      <c r="H59" s="45" t="str">
        <f aca="false">IF(Projects!$C$59="","",F59-G59)</f>
        <v/>
      </c>
      <c r="I59" s="45" t="str">
        <f aca="false">IF(Projects!$C$59="","",SUMIFS(Invoices!$G$4:$G$203,Invoices!$D$4:$D$203,Projects!$C$59))</f>
        <v/>
      </c>
      <c r="J59" s="45" t="str">
        <f aca="false">IF(Projects!$C$59="","",F59-I59)</f>
        <v/>
      </c>
      <c r="K59" s="47" t="str">
        <f aca="false">IF(OR(Projects!$C$59="",Projects!$G$59=0,Projects!$G$59=""),"",F59/Projects!$G$59)</f>
        <v/>
      </c>
    </row>
    <row r="60" customFormat="false" ht="15" hidden="false" customHeight="false" outlineLevel="0" collapsed="false">
      <c r="A60" s="23" t="str">
        <f aca="false">IF(Projects!$C$60="","",Projects!$A$60)</f>
        <v/>
      </c>
      <c r="B60" s="40" t="str">
        <f aca="false">IF(Projects!$C$60="","",Projects!$B$60)</f>
        <v/>
      </c>
      <c r="C60" s="40" t="str">
        <f aca="false">IF(Projects!$C$60="","",Projects!$C$60)</f>
        <v/>
      </c>
      <c r="D60" s="41" t="str">
        <f aca="false">IF(Projects!$C$60="","",Projects!$G$60)</f>
        <v/>
      </c>
      <c r="E60" s="42" t="str">
        <f aca="false">IF(Projects!$C$60="","",SUMIFS('Time Entry'!$G$4:$G$1003,'Time Entry'!$E$4:$E$1003,Projects!$C$60))</f>
        <v/>
      </c>
      <c r="F60" s="41" t="str">
        <f aca="false">IF(Projects!$C$60="","",SUMIFS('Time Entry'!$J$4:$J$1003,'Time Entry'!$E$4:$E$1003,Projects!$C$60))</f>
        <v/>
      </c>
      <c r="G60" s="41" t="str">
        <f aca="false">IF(Projects!$C$60="","",SUMIFS('Time Entry'!$K$4:$K$1003,'Time Entry'!$E$4:$E$1003,Projects!$C$60))</f>
        <v/>
      </c>
      <c r="H60" s="41" t="str">
        <f aca="false">IF(Projects!$C$60="","",F60-G60)</f>
        <v/>
      </c>
      <c r="I60" s="41" t="str">
        <f aca="false">IF(Projects!$C$60="","",SUMIFS(Invoices!$G$4:$G$203,Invoices!$D$4:$D$203,Projects!$C$60))</f>
        <v/>
      </c>
      <c r="J60" s="41" t="str">
        <f aca="false">IF(Projects!$C$60="","",F60-I60)</f>
        <v/>
      </c>
      <c r="K60" s="43" t="str">
        <f aca="false">IF(OR(Projects!$C$60="",Projects!$G$60=0,Projects!$G$60=""),"",F60/Projects!$G$60)</f>
        <v/>
      </c>
    </row>
    <row r="61" customFormat="false" ht="15" hidden="false" customHeight="false" outlineLevel="0" collapsed="false">
      <c r="A61" s="31" t="str">
        <f aca="false">IF(Projects!$C$61="","",Projects!$A$61)</f>
        <v/>
      </c>
      <c r="B61" s="44" t="str">
        <f aca="false">IF(Projects!$C$61="","",Projects!$B$61)</f>
        <v/>
      </c>
      <c r="C61" s="44" t="str">
        <f aca="false">IF(Projects!$C$61="","",Projects!$C$61)</f>
        <v/>
      </c>
      <c r="D61" s="45" t="str">
        <f aca="false">IF(Projects!$C$61="","",Projects!$G$61)</f>
        <v/>
      </c>
      <c r="E61" s="46" t="str">
        <f aca="false">IF(Projects!$C$61="","",SUMIFS('Time Entry'!$G$4:$G$1003,'Time Entry'!$E$4:$E$1003,Projects!$C$61))</f>
        <v/>
      </c>
      <c r="F61" s="45" t="str">
        <f aca="false">IF(Projects!$C$61="","",SUMIFS('Time Entry'!$J$4:$J$1003,'Time Entry'!$E$4:$E$1003,Projects!$C$61))</f>
        <v/>
      </c>
      <c r="G61" s="45" t="str">
        <f aca="false">IF(Projects!$C$61="","",SUMIFS('Time Entry'!$K$4:$K$1003,'Time Entry'!$E$4:$E$1003,Projects!$C$61))</f>
        <v/>
      </c>
      <c r="H61" s="45" t="str">
        <f aca="false">IF(Projects!$C$61="","",F61-G61)</f>
        <v/>
      </c>
      <c r="I61" s="45" t="str">
        <f aca="false">IF(Projects!$C$61="","",SUMIFS(Invoices!$G$4:$G$203,Invoices!$D$4:$D$203,Projects!$C$61))</f>
        <v/>
      </c>
      <c r="J61" s="45" t="str">
        <f aca="false">IF(Projects!$C$61="","",F61-I61)</f>
        <v/>
      </c>
      <c r="K61" s="47" t="str">
        <f aca="false">IF(OR(Projects!$C$61="",Projects!$G$61=0,Projects!$G$61=""),"",F61/Projects!$G$61)</f>
        <v/>
      </c>
    </row>
    <row r="62" customFormat="false" ht="15" hidden="false" customHeight="false" outlineLevel="0" collapsed="false">
      <c r="A62" s="23" t="str">
        <f aca="false">IF(Projects!$C$62="","",Projects!$A$62)</f>
        <v/>
      </c>
      <c r="B62" s="40" t="str">
        <f aca="false">IF(Projects!$C$62="","",Projects!$B$62)</f>
        <v/>
      </c>
      <c r="C62" s="40" t="str">
        <f aca="false">IF(Projects!$C$62="","",Projects!$C$62)</f>
        <v/>
      </c>
      <c r="D62" s="41" t="str">
        <f aca="false">IF(Projects!$C$62="","",Projects!$G$62)</f>
        <v/>
      </c>
      <c r="E62" s="42" t="str">
        <f aca="false">IF(Projects!$C$62="","",SUMIFS('Time Entry'!$G$4:$G$1003,'Time Entry'!$E$4:$E$1003,Projects!$C$62))</f>
        <v/>
      </c>
      <c r="F62" s="41" t="str">
        <f aca="false">IF(Projects!$C$62="","",SUMIFS('Time Entry'!$J$4:$J$1003,'Time Entry'!$E$4:$E$1003,Projects!$C$62))</f>
        <v/>
      </c>
      <c r="G62" s="41" t="str">
        <f aca="false">IF(Projects!$C$62="","",SUMIFS('Time Entry'!$K$4:$K$1003,'Time Entry'!$E$4:$E$1003,Projects!$C$62))</f>
        <v/>
      </c>
      <c r="H62" s="41" t="str">
        <f aca="false">IF(Projects!$C$62="","",F62-G62)</f>
        <v/>
      </c>
      <c r="I62" s="41" t="str">
        <f aca="false">IF(Projects!$C$62="","",SUMIFS(Invoices!$G$4:$G$203,Invoices!$D$4:$D$203,Projects!$C$62))</f>
        <v/>
      </c>
      <c r="J62" s="41" t="str">
        <f aca="false">IF(Projects!$C$62="","",F62-I62)</f>
        <v/>
      </c>
      <c r="K62" s="43" t="str">
        <f aca="false">IF(OR(Projects!$C$62="",Projects!$G$62=0,Projects!$G$62=""),"",F62/Projects!$G$62)</f>
        <v/>
      </c>
    </row>
    <row r="63" customFormat="false" ht="15" hidden="false" customHeight="false" outlineLevel="0" collapsed="false">
      <c r="A63" s="31" t="str">
        <f aca="false">IF(Projects!$C$63="","",Projects!$A$63)</f>
        <v/>
      </c>
      <c r="B63" s="44" t="str">
        <f aca="false">IF(Projects!$C$63="","",Projects!$B$63)</f>
        <v/>
      </c>
      <c r="C63" s="44" t="str">
        <f aca="false">IF(Projects!$C$63="","",Projects!$C$63)</f>
        <v/>
      </c>
      <c r="D63" s="45" t="str">
        <f aca="false">IF(Projects!$C$63="","",Projects!$G$63)</f>
        <v/>
      </c>
      <c r="E63" s="46" t="str">
        <f aca="false">IF(Projects!$C$63="","",SUMIFS('Time Entry'!$G$4:$G$1003,'Time Entry'!$E$4:$E$1003,Projects!$C$63))</f>
        <v/>
      </c>
      <c r="F63" s="45" t="str">
        <f aca="false">IF(Projects!$C$63="","",SUMIFS('Time Entry'!$J$4:$J$1003,'Time Entry'!$E$4:$E$1003,Projects!$C$63))</f>
        <v/>
      </c>
      <c r="G63" s="45" t="str">
        <f aca="false">IF(Projects!$C$63="","",SUMIFS('Time Entry'!$K$4:$K$1003,'Time Entry'!$E$4:$E$1003,Projects!$C$63))</f>
        <v/>
      </c>
      <c r="H63" s="45" t="str">
        <f aca="false">IF(Projects!$C$63="","",F63-G63)</f>
        <v/>
      </c>
      <c r="I63" s="45" t="str">
        <f aca="false">IF(Projects!$C$63="","",SUMIFS(Invoices!$G$4:$G$203,Invoices!$D$4:$D$203,Projects!$C$63))</f>
        <v/>
      </c>
      <c r="J63" s="45" t="str">
        <f aca="false">IF(Projects!$C$63="","",F63-I63)</f>
        <v/>
      </c>
      <c r="K63" s="47" t="str">
        <f aca="false">IF(OR(Projects!$C$63="",Projects!$G$63=0,Projects!$G$63=""),"",F63/Projects!$G$63)</f>
        <v/>
      </c>
    </row>
    <row r="64" customFormat="false" ht="15" hidden="false" customHeight="false" outlineLevel="0" collapsed="false">
      <c r="A64" s="48"/>
      <c r="B64" s="48"/>
      <c r="C64" s="49" t="s">
        <v>118</v>
      </c>
      <c r="D64" s="48"/>
      <c r="E64" s="50" t="n">
        <f aca="false">SUM(E4:E63)</f>
        <v>6.5</v>
      </c>
      <c r="F64" s="51" t="n">
        <f aca="false">SUM(F4:F63)</f>
        <v>942.5</v>
      </c>
      <c r="G64" s="51" t="n">
        <f aca="false">SUM(G4:G63)</f>
        <v>442</v>
      </c>
      <c r="H64" s="51" t="n">
        <f aca="false">SUM(H4:H63)</f>
        <v>500.5</v>
      </c>
      <c r="I64" s="51" t="n">
        <f aca="false">SUM(I4:I63)</f>
        <v>900</v>
      </c>
      <c r="J64" s="51" t="n">
        <f aca="false">SUM(J4:J63)</f>
        <v>42.5</v>
      </c>
      <c r="K64" s="48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</cols>
  <sheetData>
    <row r="1" customFormat="false" ht="30" hidden="false" customHeight="true" outlineLevel="0" collapsed="false">
      <c r="A1" s="15" t="s">
        <v>119</v>
      </c>
      <c r="B1" s="15"/>
      <c r="C1" s="15"/>
      <c r="D1" s="15"/>
      <c r="E1" s="15"/>
      <c r="F1" s="15"/>
      <c r="G1" s="15"/>
    </row>
    <row r="2" customFormat="false" ht="15.75" hidden="false" customHeight="true" outlineLevel="0" collapsed="false">
      <c r="A2" s="16" t="s">
        <v>120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38</v>
      </c>
      <c r="B3" s="17" t="s">
        <v>121</v>
      </c>
      <c r="C3" s="17" t="s">
        <v>24</v>
      </c>
      <c r="D3" s="17" t="s">
        <v>26</v>
      </c>
      <c r="E3" s="17" t="s">
        <v>122</v>
      </c>
      <c r="F3" s="17" t="s">
        <v>123</v>
      </c>
      <c r="G3" s="17" t="s">
        <v>45</v>
      </c>
    </row>
    <row r="4" customFormat="false" ht="15" hidden="false" customHeight="false" outlineLevel="0" collapsed="false">
      <c r="A4" s="40" t="str">
        <f aca="false">IF(Employees!$B$4="","",Employees!$B$4)</f>
        <v>Jane Designer</v>
      </c>
      <c r="B4" s="42" t="n">
        <f aca="false">IF(Employees!$B$4="","",SUMIFS('Time Entry'!$G$4:$G$1003,'Time Entry'!$C$4:$C$1003,Employees!$B$4))</f>
        <v>6.5</v>
      </c>
      <c r="C4" s="42" t="n">
        <f aca="false">IF(Employees!$B$4="","",SUMIFS('Time Entry'!$G$4:$G$1003,'Time Entry'!$C$4:$C$1003,Employees!$B$4,'Time Entry'!$H$4:$H$1003,"Yes"))</f>
        <v>6.5</v>
      </c>
      <c r="D4" s="42" t="n">
        <f aca="false">IF(Employees!$B$4="","",B4-C4)</f>
        <v>0</v>
      </c>
      <c r="E4" s="43" t="n">
        <f aca="false">IF(OR(Employees!$B$4="",B4=0),"",C4/B4)</f>
        <v>1</v>
      </c>
      <c r="F4" s="43" t="n">
        <f aca="false">IF(Employees!$B$4="","",Employees!$G$4)</f>
        <v>0.75</v>
      </c>
      <c r="G4" s="52" t="n">
        <f aca="false">IF(Employees!$B$4="","",SUMIFS('Time Entry'!$J$4:$J$1003,'Time Entry'!$C$4:$C$1003,Employees!$B$4))</f>
        <v>942.5</v>
      </c>
    </row>
    <row r="5" customFormat="false" ht="15" hidden="false" customHeight="false" outlineLevel="0" collapsed="false">
      <c r="A5" s="44" t="str">
        <f aca="false">IF(Employees!$B$5="","",Employees!$B$5)</f>
        <v/>
      </c>
      <c r="B5" s="46" t="str">
        <f aca="false">IF(Employees!$B$5="","",SUMIFS('Time Entry'!$G$4:$G$1003,'Time Entry'!$C$4:$C$1003,Employees!$B$5))</f>
        <v/>
      </c>
      <c r="C5" s="46" t="str">
        <f aca="false">IF(Employees!$B$5="","",SUMIFS('Time Entry'!$G$4:$G$1003,'Time Entry'!$C$4:$C$1003,Employees!$B$5,'Time Entry'!$H$4:$H$1003,"Yes"))</f>
        <v/>
      </c>
      <c r="D5" s="46" t="str">
        <f aca="false">IF(Employees!$B$5="","",B5-C5)</f>
        <v/>
      </c>
      <c r="E5" s="47" t="str">
        <f aca="false">IF(OR(Employees!$B$5="",B5=0),"",C5/B5)</f>
        <v/>
      </c>
      <c r="F5" s="47" t="str">
        <f aca="false">IF(Employees!$B$5="","",Employees!$G$5)</f>
        <v/>
      </c>
      <c r="G5" s="53" t="str">
        <f aca="false">IF(Employees!$B$5="","",SUMIFS('Time Entry'!$J$4:$J$1003,'Time Entry'!$C$4:$C$1003,Employees!$B$5))</f>
        <v/>
      </c>
    </row>
    <row r="6" customFormat="false" ht="15" hidden="false" customHeight="false" outlineLevel="0" collapsed="false">
      <c r="A6" s="40" t="str">
        <f aca="false">IF(Employees!$B$6="","",Employees!$B$6)</f>
        <v/>
      </c>
      <c r="B6" s="42" t="str">
        <f aca="false">IF(Employees!$B$6="","",SUMIFS('Time Entry'!$G$4:$G$1003,'Time Entry'!$C$4:$C$1003,Employees!$B$6))</f>
        <v/>
      </c>
      <c r="C6" s="42" t="str">
        <f aca="false">IF(Employees!$B$6="","",SUMIFS('Time Entry'!$G$4:$G$1003,'Time Entry'!$C$4:$C$1003,Employees!$B$6,'Time Entry'!$H$4:$H$1003,"Yes"))</f>
        <v/>
      </c>
      <c r="D6" s="42" t="str">
        <f aca="false">IF(Employees!$B$6="","",B6-C6)</f>
        <v/>
      </c>
      <c r="E6" s="43" t="str">
        <f aca="false">IF(OR(Employees!$B$6="",B6=0),"",C6/B6)</f>
        <v/>
      </c>
      <c r="F6" s="43" t="str">
        <f aca="false">IF(Employees!$B$6="","",Employees!$G$6)</f>
        <v/>
      </c>
      <c r="G6" s="52" t="str">
        <f aca="false">IF(Employees!$B$6="","",SUMIFS('Time Entry'!$J$4:$J$1003,'Time Entry'!$C$4:$C$1003,Employees!$B$6))</f>
        <v/>
      </c>
    </row>
    <row r="7" customFormat="false" ht="15" hidden="false" customHeight="false" outlineLevel="0" collapsed="false">
      <c r="A7" s="44" t="str">
        <f aca="false">IF(Employees!$B$7="","",Employees!$B$7)</f>
        <v/>
      </c>
      <c r="B7" s="46" t="str">
        <f aca="false">IF(Employees!$B$7="","",SUMIFS('Time Entry'!$G$4:$G$1003,'Time Entry'!$C$4:$C$1003,Employees!$B$7))</f>
        <v/>
      </c>
      <c r="C7" s="46" t="str">
        <f aca="false">IF(Employees!$B$7="","",SUMIFS('Time Entry'!$G$4:$G$1003,'Time Entry'!$C$4:$C$1003,Employees!$B$7,'Time Entry'!$H$4:$H$1003,"Yes"))</f>
        <v/>
      </c>
      <c r="D7" s="46" t="str">
        <f aca="false">IF(Employees!$B$7="","",B7-C7)</f>
        <v/>
      </c>
      <c r="E7" s="47" t="str">
        <f aca="false">IF(OR(Employees!$B$7="",B7=0),"",C7/B7)</f>
        <v/>
      </c>
      <c r="F7" s="47" t="str">
        <f aca="false">IF(Employees!$B$7="","",Employees!$G$7)</f>
        <v/>
      </c>
      <c r="G7" s="53" t="str">
        <f aca="false">IF(Employees!$B$7="","",SUMIFS('Time Entry'!$J$4:$J$1003,'Time Entry'!$C$4:$C$1003,Employees!$B$7))</f>
        <v/>
      </c>
    </row>
    <row r="8" customFormat="false" ht="15" hidden="false" customHeight="false" outlineLevel="0" collapsed="false">
      <c r="A8" s="40" t="str">
        <f aca="false">IF(Employees!$B$8="","",Employees!$B$8)</f>
        <v/>
      </c>
      <c r="B8" s="42" t="str">
        <f aca="false">IF(Employees!$B$8="","",SUMIFS('Time Entry'!$G$4:$G$1003,'Time Entry'!$C$4:$C$1003,Employees!$B$8))</f>
        <v/>
      </c>
      <c r="C8" s="42" t="str">
        <f aca="false">IF(Employees!$B$8="","",SUMIFS('Time Entry'!$G$4:$G$1003,'Time Entry'!$C$4:$C$1003,Employees!$B$8,'Time Entry'!$H$4:$H$1003,"Yes"))</f>
        <v/>
      </c>
      <c r="D8" s="42" t="str">
        <f aca="false">IF(Employees!$B$8="","",B8-C8)</f>
        <v/>
      </c>
      <c r="E8" s="43" t="str">
        <f aca="false">IF(OR(Employees!$B$8="",B8=0),"",C8/B8)</f>
        <v/>
      </c>
      <c r="F8" s="43" t="str">
        <f aca="false">IF(Employees!$B$8="","",Employees!$G$8)</f>
        <v/>
      </c>
      <c r="G8" s="52" t="str">
        <f aca="false">IF(Employees!$B$8="","",SUMIFS('Time Entry'!$J$4:$J$1003,'Time Entry'!$C$4:$C$1003,Employees!$B$8))</f>
        <v/>
      </c>
    </row>
    <row r="9" customFormat="false" ht="15" hidden="false" customHeight="false" outlineLevel="0" collapsed="false">
      <c r="A9" s="44" t="str">
        <f aca="false">IF(Employees!$B$9="","",Employees!$B$9)</f>
        <v/>
      </c>
      <c r="B9" s="46" t="str">
        <f aca="false">IF(Employees!$B$9="","",SUMIFS('Time Entry'!$G$4:$G$1003,'Time Entry'!$C$4:$C$1003,Employees!$B$9))</f>
        <v/>
      </c>
      <c r="C9" s="46" t="str">
        <f aca="false">IF(Employees!$B$9="","",SUMIFS('Time Entry'!$G$4:$G$1003,'Time Entry'!$C$4:$C$1003,Employees!$B$9,'Time Entry'!$H$4:$H$1003,"Yes"))</f>
        <v/>
      </c>
      <c r="D9" s="46" t="str">
        <f aca="false">IF(Employees!$B$9="","",B9-C9)</f>
        <v/>
      </c>
      <c r="E9" s="47" t="str">
        <f aca="false">IF(OR(Employees!$B$9="",B9=0),"",C9/B9)</f>
        <v/>
      </c>
      <c r="F9" s="47" t="str">
        <f aca="false">IF(Employees!$B$9="","",Employees!$G$9)</f>
        <v/>
      </c>
      <c r="G9" s="53" t="str">
        <f aca="false">IF(Employees!$B$9="","",SUMIFS('Time Entry'!$J$4:$J$1003,'Time Entry'!$C$4:$C$1003,Employees!$B$9))</f>
        <v/>
      </c>
    </row>
    <row r="10" customFormat="false" ht="15" hidden="false" customHeight="false" outlineLevel="0" collapsed="false">
      <c r="A10" s="40" t="str">
        <f aca="false">IF(Employees!$B$10="","",Employees!$B$10)</f>
        <v/>
      </c>
      <c r="B10" s="42" t="str">
        <f aca="false">IF(Employees!$B$10="","",SUMIFS('Time Entry'!$G$4:$G$1003,'Time Entry'!$C$4:$C$1003,Employees!$B$10))</f>
        <v/>
      </c>
      <c r="C10" s="42" t="str">
        <f aca="false">IF(Employees!$B$10="","",SUMIFS('Time Entry'!$G$4:$G$1003,'Time Entry'!$C$4:$C$1003,Employees!$B$10,'Time Entry'!$H$4:$H$1003,"Yes"))</f>
        <v/>
      </c>
      <c r="D10" s="42" t="str">
        <f aca="false">IF(Employees!$B$10="","",B10-C10)</f>
        <v/>
      </c>
      <c r="E10" s="43" t="str">
        <f aca="false">IF(OR(Employees!$B$10="",B10=0),"",C10/B10)</f>
        <v/>
      </c>
      <c r="F10" s="43" t="str">
        <f aca="false">IF(Employees!$B$10="","",Employees!$G$10)</f>
        <v/>
      </c>
      <c r="G10" s="52" t="str">
        <f aca="false">IF(Employees!$B$10="","",SUMIFS('Time Entry'!$J$4:$J$1003,'Time Entry'!$C$4:$C$1003,Employees!$B$10))</f>
        <v/>
      </c>
    </row>
    <row r="11" customFormat="false" ht="15" hidden="false" customHeight="false" outlineLevel="0" collapsed="false">
      <c r="A11" s="44" t="str">
        <f aca="false">IF(Employees!$B$11="","",Employees!$B$11)</f>
        <v/>
      </c>
      <c r="B11" s="46" t="str">
        <f aca="false">IF(Employees!$B$11="","",SUMIFS('Time Entry'!$G$4:$G$1003,'Time Entry'!$C$4:$C$1003,Employees!$B$11))</f>
        <v/>
      </c>
      <c r="C11" s="46" t="str">
        <f aca="false">IF(Employees!$B$11="","",SUMIFS('Time Entry'!$G$4:$G$1003,'Time Entry'!$C$4:$C$1003,Employees!$B$11,'Time Entry'!$H$4:$H$1003,"Yes"))</f>
        <v/>
      </c>
      <c r="D11" s="46" t="str">
        <f aca="false">IF(Employees!$B$11="","",B11-C11)</f>
        <v/>
      </c>
      <c r="E11" s="47" t="str">
        <f aca="false">IF(OR(Employees!$B$11="",B11=0),"",C11/B11)</f>
        <v/>
      </c>
      <c r="F11" s="47" t="str">
        <f aca="false">IF(Employees!$B$11="","",Employees!$G$11)</f>
        <v/>
      </c>
      <c r="G11" s="53" t="str">
        <f aca="false">IF(Employees!$B$11="","",SUMIFS('Time Entry'!$J$4:$J$1003,'Time Entry'!$C$4:$C$1003,Employees!$B$11))</f>
        <v/>
      </c>
    </row>
    <row r="12" customFormat="false" ht="15" hidden="false" customHeight="false" outlineLevel="0" collapsed="false">
      <c r="A12" s="40" t="str">
        <f aca="false">IF(Employees!$B$12="","",Employees!$B$12)</f>
        <v/>
      </c>
      <c r="B12" s="42" t="str">
        <f aca="false">IF(Employees!$B$12="","",SUMIFS('Time Entry'!$G$4:$G$1003,'Time Entry'!$C$4:$C$1003,Employees!$B$12))</f>
        <v/>
      </c>
      <c r="C12" s="42" t="str">
        <f aca="false">IF(Employees!$B$12="","",SUMIFS('Time Entry'!$G$4:$G$1003,'Time Entry'!$C$4:$C$1003,Employees!$B$12,'Time Entry'!$H$4:$H$1003,"Yes"))</f>
        <v/>
      </c>
      <c r="D12" s="42" t="str">
        <f aca="false">IF(Employees!$B$12="","",B12-C12)</f>
        <v/>
      </c>
      <c r="E12" s="43" t="str">
        <f aca="false">IF(OR(Employees!$B$12="",B12=0),"",C12/B12)</f>
        <v/>
      </c>
      <c r="F12" s="43" t="str">
        <f aca="false">IF(Employees!$B$12="","",Employees!$G$12)</f>
        <v/>
      </c>
      <c r="G12" s="52" t="str">
        <f aca="false">IF(Employees!$B$12="","",SUMIFS('Time Entry'!$J$4:$J$1003,'Time Entry'!$C$4:$C$1003,Employees!$B$12))</f>
        <v/>
      </c>
    </row>
    <row r="13" customFormat="false" ht="15" hidden="false" customHeight="false" outlineLevel="0" collapsed="false">
      <c r="A13" s="44" t="str">
        <f aca="false">IF(Employees!$B$13="","",Employees!$B$13)</f>
        <v/>
      </c>
      <c r="B13" s="46" t="str">
        <f aca="false">IF(Employees!$B$13="","",SUMIFS('Time Entry'!$G$4:$G$1003,'Time Entry'!$C$4:$C$1003,Employees!$B$13))</f>
        <v/>
      </c>
      <c r="C13" s="46" t="str">
        <f aca="false">IF(Employees!$B$13="","",SUMIFS('Time Entry'!$G$4:$G$1003,'Time Entry'!$C$4:$C$1003,Employees!$B$13,'Time Entry'!$H$4:$H$1003,"Yes"))</f>
        <v/>
      </c>
      <c r="D13" s="46" t="str">
        <f aca="false">IF(Employees!$B$13="","",B13-C13)</f>
        <v/>
      </c>
      <c r="E13" s="47" t="str">
        <f aca="false">IF(OR(Employees!$B$13="",B13=0),"",C13/B13)</f>
        <v/>
      </c>
      <c r="F13" s="47" t="str">
        <f aca="false">IF(Employees!$B$13="","",Employees!$G$13)</f>
        <v/>
      </c>
      <c r="G13" s="53" t="str">
        <f aca="false">IF(Employees!$B$13="","",SUMIFS('Time Entry'!$J$4:$J$1003,'Time Entry'!$C$4:$C$1003,Employees!$B$13))</f>
        <v/>
      </c>
    </row>
    <row r="14" customFormat="false" ht="15" hidden="false" customHeight="false" outlineLevel="0" collapsed="false">
      <c r="A14" s="40" t="str">
        <f aca="false">IF(Employees!$B$14="","",Employees!$B$14)</f>
        <v/>
      </c>
      <c r="B14" s="42" t="str">
        <f aca="false">IF(Employees!$B$14="","",SUMIFS('Time Entry'!$G$4:$G$1003,'Time Entry'!$C$4:$C$1003,Employees!$B$14))</f>
        <v/>
      </c>
      <c r="C14" s="42" t="str">
        <f aca="false">IF(Employees!$B$14="","",SUMIFS('Time Entry'!$G$4:$G$1003,'Time Entry'!$C$4:$C$1003,Employees!$B$14,'Time Entry'!$H$4:$H$1003,"Yes"))</f>
        <v/>
      </c>
      <c r="D14" s="42" t="str">
        <f aca="false">IF(Employees!$B$14="","",B14-C14)</f>
        <v/>
      </c>
      <c r="E14" s="43" t="str">
        <f aca="false">IF(OR(Employees!$B$14="",B14=0),"",C14/B14)</f>
        <v/>
      </c>
      <c r="F14" s="43" t="str">
        <f aca="false">IF(Employees!$B$14="","",Employees!$G$14)</f>
        <v/>
      </c>
      <c r="G14" s="52" t="str">
        <f aca="false">IF(Employees!$B$14="","",SUMIFS('Time Entry'!$J$4:$J$1003,'Time Entry'!$C$4:$C$1003,Employees!$B$14))</f>
        <v/>
      </c>
    </row>
    <row r="15" customFormat="false" ht="15" hidden="false" customHeight="false" outlineLevel="0" collapsed="false">
      <c r="A15" s="44" t="str">
        <f aca="false">IF(Employees!$B$15="","",Employees!$B$15)</f>
        <v/>
      </c>
      <c r="B15" s="46" t="str">
        <f aca="false">IF(Employees!$B$15="","",SUMIFS('Time Entry'!$G$4:$G$1003,'Time Entry'!$C$4:$C$1003,Employees!$B$15))</f>
        <v/>
      </c>
      <c r="C15" s="46" t="str">
        <f aca="false">IF(Employees!$B$15="","",SUMIFS('Time Entry'!$G$4:$G$1003,'Time Entry'!$C$4:$C$1003,Employees!$B$15,'Time Entry'!$H$4:$H$1003,"Yes"))</f>
        <v/>
      </c>
      <c r="D15" s="46" t="str">
        <f aca="false">IF(Employees!$B$15="","",B15-C15)</f>
        <v/>
      </c>
      <c r="E15" s="47" t="str">
        <f aca="false">IF(OR(Employees!$B$15="",B15=0),"",C15/B15)</f>
        <v/>
      </c>
      <c r="F15" s="47" t="str">
        <f aca="false">IF(Employees!$B$15="","",Employees!$G$15)</f>
        <v/>
      </c>
      <c r="G15" s="53" t="str">
        <f aca="false">IF(Employees!$B$15="","",SUMIFS('Time Entry'!$J$4:$J$1003,'Time Entry'!$C$4:$C$1003,Employees!$B$15))</f>
        <v/>
      </c>
    </row>
    <row r="16" customFormat="false" ht="15" hidden="false" customHeight="false" outlineLevel="0" collapsed="false">
      <c r="A16" s="40" t="str">
        <f aca="false">IF(Employees!$B$16="","",Employees!$B$16)</f>
        <v/>
      </c>
      <c r="B16" s="42" t="str">
        <f aca="false">IF(Employees!$B$16="","",SUMIFS('Time Entry'!$G$4:$G$1003,'Time Entry'!$C$4:$C$1003,Employees!$B$16))</f>
        <v/>
      </c>
      <c r="C16" s="42" t="str">
        <f aca="false">IF(Employees!$B$16="","",SUMIFS('Time Entry'!$G$4:$G$1003,'Time Entry'!$C$4:$C$1003,Employees!$B$16,'Time Entry'!$H$4:$H$1003,"Yes"))</f>
        <v/>
      </c>
      <c r="D16" s="42" t="str">
        <f aca="false">IF(Employees!$B$16="","",B16-C16)</f>
        <v/>
      </c>
      <c r="E16" s="43" t="str">
        <f aca="false">IF(OR(Employees!$B$16="",B16=0),"",C16/B16)</f>
        <v/>
      </c>
      <c r="F16" s="43" t="str">
        <f aca="false">IF(Employees!$B$16="","",Employees!$G$16)</f>
        <v/>
      </c>
      <c r="G16" s="52" t="str">
        <f aca="false">IF(Employees!$B$16="","",SUMIFS('Time Entry'!$J$4:$J$1003,'Time Entry'!$C$4:$C$1003,Employees!$B$16))</f>
        <v/>
      </c>
    </row>
    <row r="17" customFormat="false" ht="15" hidden="false" customHeight="false" outlineLevel="0" collapsed="false">
      <c r="A17" s="44" t="str">
        <f aca="false">IF(Employees!$B$17="","",Employees!$B$17)</f>
        <v/>
      </c>
      <c r="B17" s="46" t="str">
        <f aca="false">IF(Employees!$B$17="","",SUMIFS('Time Entry'!$G$4:$G$1003,'Time Entry'!$C$4:$C$1003,Employees!$B$17))</f>
        <v/>
      </c>
      <c r="C17" s="46" t="str">
        <f aca="false">IF(Employees!$B$17="","",SUMIFS('Time Entry'!$G$4:$G$1003,'Time Entry'!$C$4:$C$1003,Employees!$B$17,'Time Entry'!$H$4:$H$1003,"Yes"))</f>
        <v/>
      </c>
      <c r="D17" s="46" t="str">
        <f aca="false">IF(Employees!$B$17="","",B17-C17)</f>
        <v/>
      </c>
      <c r="E17" s="47" t="str">
        <f aca="false">IF(OR(Employees!$B$17="",B17=0),"",C17/B17)</f>
        <v/>
      </c>
      <c r="F17" s="47" t="str">
        <f aca="false">IF(Employees!$B$17="","",Employees!$G$17)</f>
        <v/>
      </c>
      <c r="G17" s="53" t="str">
        <f aca="false">IF(Employees!$B$17="","",SUMIFS('Time Entry'!$J$4:$J$1003,'Time Entry'!$C$4:$C$1003,Employees!$B$17))</f>
        <v/>
      </c>
    </row>
    <row r="18" customFormat="false" ht="15" hidden="false" customHeight="false" outlineLevel="0" collapsed="false">
      <c r="A18" s="40" t="str">
        <f aca="false">IF(Employees!$B$18="","",Employees!$B$18)</f>
        <v/>
      </c>
      <c r="B18" s="42" t="str">
        <f aca="false">IF(Employees!$B$18="","",SUMIFS('Time Entry'!$G$4:$G$1003,'Time Entry'!$C$4:$C$1003,Employees!$B$18))</f>
        <v/>
      </c>
      <c r="C18" s="42" t="str">
        <f aca="false">IF(Employees!$B$18="","",SUMIFS('Time Entry'!$G$4:$G$1003,'Time Entry'!$C$4:$C$1003,Employees!$B$18,'Time Entry'!$H$4:$H$1003,"Yes"))</f>
        <v/>
      </c>
      <c r="D18" s="42" t="str">
        <f aca="false">IF(Employees!$B$18="","",B18-C18)</f>
        <v/>
      </c>
      <c r="E18" s="43" t="str">
        <f aca="false">IF(OR(Employees!$B$18="",B18=0),"",C18/B18)</f>
        <v/>
      </c>
      <c r="F18" s="43" t="str">
        <f aca="false">IF(Employees!$B$18="","",Employees!$G$18)</f>
        <v/>
      </c>
      <c r="G18" s="52" t="str">
        <f aca="false">IF(Employees!$B$18="","",SUMIFS('Time Entry'!$J$4:$J$1003,'Time Entry'!$C$4:$C$1003,Employees!$B$18))</f>
        <v/>
      </c>
    </row>
    <row r="19" customFormat="false" ht="15" hidden="false" customHeight="false" outlineLevel="0" collapsed="false">
      <c r="A19" s="44" t="str">
        <f aca="false">IF(Employees!$B$19="","",Employees!$B$19)</f>
        <v/>
      </c>
      <c r="B19" s="46" t="str">
        <f aca="false">IF(Employees!$B$19="","",SUMIFS('Time Entry'!$G$4:$G$1003,'Time Entry'!$C$4:$C$1003,Employees!$B$19))</f>
        <v/>
      </c>
      <c r="C19" s="46" t="str">
        <f aca="false">IF(Employees!$B$19="","",SUMIFS('Time Entry'!$G$4:$G$1003,'Time Entry'!$C$4:$C$1003,Employees!$B$19,'Time Entry'!$H$4:$H$1003,"Yes"))</f>
        <v/>
      </c>
      <c r="D19" s="46" t="str">
        <f aca="false">IF(Employees!$B$19="","",B19-C19)</f>
        <v/>
      </c>
      <c r="E19" s="47" t="str">
        <f aca="false">IF(OR(Employees!$B$19="",B19=0),"",C19/B19)</f>
        <v/>
      </c>
      <c r="F19" s="47" t="str">
        <f aca="false">IF(Employees!$B$19="","",Employees!$G$19)</f>
        <v/>
      </c>
      <c r="G19" s="53" t="str">
        <f aca="false">IF(Employees!$B$19="","",SUMIFS('Time Entry'!$J$4:$J$1003,'Time Entry'!$C$4:$C$1003,Employees!$B$19))</f>
        <v/>
      </c>
    </row>
    <row r="20" customFormat="false" ht="15" hidden="false" customHeight="false" outlineLevel="0" collapsed="false">
      <c r="A20" s="40" t="str">
        <f aca="false">IF(Employees!$B$20="","",Employees!$B$20)</f>
        <v/>
      </c>
      <c r="B20" s="42" t="str">
        <f aca="false">IF(Employees!$B$20="","",SUMIFS('Time Entry'!$G$4:$G$1003,'Time Entry'!$C$4:$C$1003,Employees!$B$20))</f>
        <v/>
      </c>
      <c r="C20" s="42" t="str">
        <f aca="false">IF(Employees!$B$20="","",SUMIFS('Time Entry'!$G$4:$G$1003,'Time Entry'!$C$4:$C$1003,Employees!$B$20,'Time Entry'!$H$4:$H$1003,"Yes"))</f>
        <v/>
      </c>
      <c r="D20" s="42" t="str">
        <f aca="false">IF(Employees!$B$20="","",B20-C20)</f>
        <v/>
      </c>
      <c r="E20" s="43" t="str">
        <f aca="false">IF(OR(Employees!$B$20="",B20=0),"",C20/B20)</f>
        <v/>
      </c>
      <c r="F20" s="43" t="str">
        <f aca="false">IF(Employees!$B$20="","",Employees!$G$20)</f>
        <v/>
      </c>
      <c r="G20" s="52" t="str">
        <f aca="false">IF(Employees!$B$20="","",SUMIFS('Time Entry'!$J$4:$J$1003,'Time Entry'!$C$4:$C$1003,Employees!$B$20))</f>
        <v/>
      </c>
    </row>
    <row r="21" customFormat="false" ht="15" hidden="false" customHeight="false" outlineLevel="0" collapsed="false">
      <c r="A21" s="44" t="str">
        <f aca="false">IF(Employees!$B$21="","",Employees!$B$21)</f>
        <v/>
      </c>
      <c r="B21" s="46" t="str">
        <f aca="false">IF(Employees!$B$21="","",SUMIFS('Time Entry'!$G$4:$G$1003,'Time Entry'!$C$4:$C$1003,Employees!$B$21))</f>
        <v/>
      </c>
      <c r="C21" s="46" t="str">
        <f aca="false">IF(Employees!$B$21="","",SUMIFS('Time Entry'!$G$4:$G$1003,'Time Entry'!$C$4:$C$1003,Employees!$B$21,'Time Entry'!$H$4:$H$1003,"Yes"))</f>
        <v/>
      </c>
      <c r="D21" s="46" t="str">
        <f aca="false">IF(Employees!$B$21="","",B21-C21)</f>
        <v/>
      </c>
      <c r="E21" s="47" t="str">
        <f aca="false">IF(OR(Employees!$B$21="",B21=0),"",C21/B21)</f>
        <v/>
      </c>
      <c r="F21" s="47" t="str">
        <f aca="false">IF(Employees!$B$21="","",Employees!$G$21)</f>
        <v/>
      </c>
      <c r="G21" s="53" t="str">
        <f aca="false">IF(Employees!$B$21="","",SUMIFS('Time Entry'!$J$4:$J$1003,'Time Entry'!$C$4:$C$1003,Employees!$B$21))</f>
        <v/>
      </c>
    </row>
    <row r="22" customFormat="false" ht="15" hidden="false" customHeight="false" outlineLevel="0" collapsed="false">
      <c r="A22" s="40" t="str">
        <f aca="false">IF(Employees!$B$22="","",Employees!$B$22)</f>
        <v/>
      </c>
      <c r="B22" s="42" t="str">
        <f aca="false">IF(Employees!$B$22="","",SUMIFS('Time Entry'!$G$4:$G$1003,'Time Entry'!$C$4:$C$1003,Employees!$B$22))</f>
        <v/>
      </c>
      <c r="C22" s="42" t="str">
        <f aca="false">IF(Employees!$B$22="","",SUMIFS('Time Entry'!$G$4:$G$1003,'Time Entry'!$C$4:$C$1003,Employees!$B$22,'Time Entry'!$H$4:$H$1003,"Yes"))</f>
        <v/>
      </c>
      <c r="D22" s="42" t="str">
        <f aca="false">IF(Employees!$B$22="","",B22-C22)</f>
        <v/>
      </c>
      <c r="E22" s="43" t="str">
        <f aca="false">IF(OR(Employees!$B$22="",B22=0),"",C22/B22)</f>
        <v/>
      </c>
      <c r="F22" s="43" t="str">
        <f aca="false">IF(Employees!$B$22="","",Employees!$G$22)</f>
        <v/>
      </c>
      <c r="G22" s="52" t="str">
        <f aca="false">IF(Employees!$B$22="","",SUMIFS('Time Entry'!$J$4:$J$1003,'Time Entry'!$C$4:$C$1003,Employees!$B$22))</f>
        <v/>
      </c>
    </row>
    <row r="23" customFormat="false" ht="15" hidden="false" customHeight="false" outlineLevel="0" collapsed="false">
      <c r="A23" s="44" t="str">
        <f aca="false">IF(Employees!$B$23="","",Employees!$B$23)</f>
        <v/>
      </c>
      <c r="B23" s="46" t="str">
        <f aca="false">IF(Employees!$B$23="","",SUMIFS('Time Entry'!$G$4:$G$1003,'Time Entry'!$C$4:$C$1003,Employees!$B$23))</f>
        <v/>
      </c>
      <c r="C23" s="46" t="str">
        <f aca="false">IF(Employees!$B$23="","",SUMIFS('Time Entry'!$G$4:$G$1003,'Time Entry'!$C$4:$C$1003,Employees!$B$23,'Time Entry'!$H$4:$H$1003,"Yes"))</f>
        <v/>
      </c>
      <c r="D23" s="46" t="str">
        <f aca="false">IF(Employees!$B$23="","",B23-C23)</f>
        <v/>
      </c>
      <c r="E23" s="47" t="str">
        <f aca="false">IF(OR(Employees!$B$23="",B23=0),"",C23/B23)</f>
        <v/>
      </c>
      <c r="F23" s="47" t="str">
        <f aca="false">IF(Employees!$B$23="","",Employees!$G$23)</f>
        <v/>
      </c>
      <c r="G23" s="53" t="str">
        <f aca="false">IF(Employees!$B$23="","",SUMIFS('Time Entry'!$J$4:$J$1003,'Time Entry'!$C$4:$C$1003,Employees!$B$23))</f>
        <v/>
      </c>
    </row>
    <row r="24" customFormat="false" ht="15" hidden="false" customHeight="false" outlineLevel="0" collapsed="false">
      <c r="A24" s="40" t="str">
        <f aca="false">IF(Employees!$B$24="","",Employees!$B$24)</f>
        <v/>
      </c>
      <c r="B24" s="42" t="str">
        <f aca="false">IF(Employees!$B$24="","",SUMIFS('Time Entry'!$G$4:$G$1003,'Time Entry'!$C$4:$C$1003,Employees!$B$24))</f>
        <v/>
      </c>
      <c r="C24" s="42" t="str">
        <f aca="false">IF(Employees!$B$24="","",SUMIFS('Time Entry'!$G$4:$G$1003,'Time Entry'!$C$4:$C$1003,Employees!$B$24,'Time Entry'!$H$4:$H$1003,"Yes"))</f>
        <v/>
      </c>
      <c r="D24" s="42" t="str">
        <f aca="false">IF(Employees!$B$24="","",B24-C24)</f>
        <v/>
      </c>
      <c r="E24" s="43" t="str">
        <f aca="false">IF(OR(Employees!$B$24="",B24=0),"",C24/B24)</f>
        <v/>
      </c>
      <c r="F24" s="43" t="str">
        <f aca="false">IF(Employees!$B$24="","",Employees!$G$24)</f>
        <v/>
      </c>
      <c r="G24" s="52" t="str">
        <f aca="false">IF(Employees!$B$24="","",SUMIFS('Time Entry'!$J$4:$J$1003,'Time Entry'!$C$4:$C$1003,Employees!$B$24))</f>
        <v/>
      </c>
    </row>
    <row r="25" customFormat="false" ht="15" hidden="false" customHeight="false" outlineLevel="0" collapsed="false">
      <c r="A25" s="44" t="str">
        <f aca="false">IF(Employees!$B$25="","",Employees!$B$25)</f>
        <v/>
      </c>
      <c r="B25" s="46" t="str">
        <f aca="false">IF(Employees!$B$25="","",SUMIFS('Time Entry'!$G$4:$G$1003,'Time Entry'!$C$4:$C$1003,Employees!$B$25))</f>
        <v/>
      </c>
      <c r="C25" s="46" t="str">
        <f aca="false">IF(Employees!$B$25="","",SUMIFS('Time Entry'!$G$4:$G$1003,'Time Entry'!$C$4:$C$1003,Employees!$B$25,'Time Entry'!$H$4:$H$1003,"Yes"))</f>
        <v/>
      </c>
      <c r="D25" s="46" t="str">
        <f aca="false">IF(Employees!$B$25="","",B25-C25)</f>
        <v/>
      </c>
      <c r="E25" s="47" t="str">
        <f aca="false">IF(OR(Employees!$B$25="",B25=0),"",C25/B25)</f>
        <v/>
      </c>
      <c r="F25" s="47" t="str">
        <f aca="false">IF(Employees!$B$25="","",Employees!$G$25)</f>
        <v/>
      </c>
      <c r="G25" s="53" t="str">
        <f aca="false">IF(Employees!$B$25="","",SUMIFS('Time Entry'!$J$4:$J$1003,'Time Entry'!$C$4:$C$1003,Employees!$B$25))</f>
        <v/>
      </c>
    </row>
    <row r="26" customFormat="false" ht="15" hidden="false" customHeight="false" outlineLevel="0" collapsed="false">
      <c r="A26" s="40" t="str">
        <f aca="false">IF(Employees!$B$26="","",Employees!$B$26)</f>
        <v/>
      </c>
      <c r="B26" s="42" t="str">
        <f aca="false">IF(Employees!$B$26="","",SUMIFS('Time Entry'!$G$4:$G$1003,'Time Entry'!$C$4:$C$1003,Employees!$B$26))</f>
        <v/>
      </c>
      <c r="C26" s="42" t="str">
        <f aca="false">IF(Employees!$B$26="","",SUMIFS('Time Entry'!$G$4:$G$1003,'Time Entry'!$C$4:$C$1003,Employees!$B$26,'Time Entry'!$H$4:$H$1003,"Yes"))</f>
        <v/>
      </c>
      <c r="D26" s="42" t="str">
        <f aca="false">IF(Employees!$B$26="","",B26-C26)</f>
        <v/>
      </c>
      <c r="E26" s="43" t="str">
        <f aca="false">IF(OR(Employees!$B$26="",B26=0),"",C26/B26)</f>
        <v/>
      </c>
      <c r="F26" s="43" t="str">
        <f aca="false">IF(Employees!$B$26="","",Employees!$G$26)</f>
        <v/>
      </c>
      <c r="G26" s="52" t="str">
        <f aca="false">IF(Employees!$B$26="","",SUMIFS('Time Entry'!$J$4:$J$1003,'Time Entry'!$C$4:$C$1003,Employees!$B$26))</f>
        <v/>
      </c>
    </row>
    <row r="27" customFormat="false" ht="15" hidden="false" customHeight="false" outlineLevel="0" collapsed="false">
      <c r="A27" s="44" t="str">
        <f aca="false">IF(Employees!$B$27="","",Employees!$B$27)</f>
        <v/>
      </c>
      <c r="B27" s="46" t="str">
        <f aca="false">IF(Employees!$B$27="","",SUMIFS('Time Entry'!$G$4:$G$1003,'Time Entry'!$C$4:$C$1003,Employees!$B$27))</f>
        <v/>
      </c>
      <c r="C27" s="46" t="str">
        <f aca="false">IF(Employees!$B$27="","",SUMIFS('Time Entry'!$G$4:$G$1003,'Time Entry'!$C$4:$C$1003,Employees!$B$27,'Time Entry'!$H$4:$H$1003,"Yes"))</f>
        <v/>
      </c>
      <c r="D27" s="46" t="str">
        <f aca="false">IF(Employees!$B$27="","",B27-C27)</f>
        <v/>
      </c>
      <c r="E27" s="47" t="str">
        <f aca="false">IF(OR(Employees!$B$27="",B27=0),"",C27/B27)</f>
        <v/>
      </c>
      <c r="F27" s="47" t="str">
        <f aca="false">IF(Employees!$B$27="","",Employees!$G$27)</f>
        <v/>
      </c>
      <c r="G27" s="53" t="str">
        <f aca="false">IF(Employees!$B$27="","",SUMIFS('Time Entry'!$J$4:$J$1003,'Time Entry'!$C$4:$C$1003,Employees!$B$27))</f>
        <v/>
      </c>
    </row>
    <row r="28" customFormat="false" ht="15" hidden="false" customHeight="false" outlineLevel="0" collapsed="false">
      <c r="A28" s="40" t="str">
        <f aca="false">IF(Employees!$B$28="","",Employees!$B$28)</f>
        <v/>
      </c>
      <c r="B28" s="42" t="str">
        <f aca="false">IF(Employees!$B$28="","",SUMIFS('Time Entry'!$G$4:$G$1003,'Time Entry'!$C$4:$C$1003,Employees!$B$28))</f>
        <v/>
      </c>
      <c r="C28" s="42" t="str">
        <f aca="false">IF(Employees!$B$28="","",SUMIFS('Time Entry'!$G$4:$G$1003,'Time Entry'!$C$4:$C$1003,Employees!$B$28,'Time Entry'!$H$4:$H$1003,"Yes"))</f>
        <v/>
      </c>
      <c r="D28" s="42" t="str">
        <f aca="false">IF(Employees!$B$28="","",B28-C28)</f>
        <v/>
      </c>
      <c r="E28" s="43" t="str">
        <f aca="false">IF(OR(Employees!$B$28="",B28=0),"",C28/B28)</f>
        <v/>
      </c>
      <c r="F28" s="43" t="str">
        <f aca="false">IF(Employees!$B$28="","",Employees!$G$28)</f>
        <v/>
      </c>
      <c r="G28" s="52" t="str">
        <f aca="false">IF(Employees!$B$28="","",SUMIFS('Time Entry'!$J$4:$J$1003,'Time Entry'!$C$4:$C$1003,Employees!$B$28))</f>
        <v/>
      </c>
    </row>
    <row r="29" customFormat="false" ht="15" hidden="false" customHeight="false" outlineLevel="0" collapsed="false">
      <c r="A29" s="44" t="str">
        <f aca="false">IF(Employees!$B$29="","",Employees!$B$29)</f>
        <v/>
      </c>
      <c r="B29" s="46" t="str">
        <f aca="false">IF(Employees!$B$29="","",SUMIFS('Time Entry'!$G$4:$G$1003,'Time Entry'!$C$4:$C$1003,Employees!$B$29))</f>
        <v/>
      </c>
      <c r="C29" s="46" t="str">
        <f aca="false">IF(Employees!$B$29="","",SUMIFS('Time Entry'!$G$4:$G$1003,'Time Entry'!$C$4:$C$1003,Employees!$B$29,'Time Entry'!$H$4:$H$1003,"Yes"))</f>
        <v/>
      </c>
      <c r="D29" s="46" t="str">
        <f aca="false">IF(Employees!$B$29="","",B29-C29)</f>
        <v/>
      </c>
      <c r="E29" s="47" t="str">
        <f aca="false">IF(OR(Employees!$B$29="",B29=0),"",C29/B29)</f>
        <v/>
      </c>
      <c r="F29" s="47" t="str">
        <f aca="false">IF(Employees!$B$29="","",Employees!$G$29)</f>
        <v/>
      </c>
      <c r="G29" s="53" t="str">
        <f aca="false">IF(Employees!$B$29="","",SUMIFS('Time Entry'!$J$4:$J$1003,'Time Entry'!$C$4:$C$1003,Employees!$B$29))</f>
        <v/>
      </c>
    </row>
    <row r="30" customFormat="false" ht="15" hidden="false" customHeight="false" outlineLevel="0" collapsed="false">
      <c r="A30" s="40" t="str">
        <f aca="false">IF(Employees!$B$30="","",Employees!$B$30)</f>
        <v/>
      </c>
      <c r="B30" s="42" t="str">
        <f aca="false">IF(Employees!$B$30="","",SUMIFS('Time Entry'!$G$4:$G$1003,'Time Entry'!$C$4:$C$1003,Employees!$B$30))</f>
        <v/>
      </c>
      <c r="C30" s="42" t="str">
        <f aca="false">IF(Employees!$B$30="","",SUMIFS('Time Entry'!$G$4:$G$1003,'Time Entry'!$C$4:$C$1003,Employees!$B$30,'Time Entry'!$H$4:$H$1003,"Yes"))</f>
        <v/>
      </c>
      <c r="D30" s="42" t="str">
        <f aca="false">IF(Employees!$B$30="","",B30-C30)</f>
        <v/>
      </c>
      <c r="E30" s="43" t="str">
        <f aca="false">IF(OR(Employees!$B$30="",B30=0),"",C30/B30)</f>
        <v/>
      </c>
      <c r="F30" s="43" t="str">
        <f aca="false">IF(Employees!$B$30="","",Employees!$G$30)</f>
        <v/>
      </c>
      <c r="G30" s="52" t="str">
        <f aca="false">IF(Employees!$B$30="","",SUMIFS('Time Entry'!$J$4:$J$1003,'Time Entry'!$C$4:$C$1003,Employees!$B$30))</f>
        <v/>
      </c>
    </row>
    <row r="31" customFormat="false" ht="15" hidden="false" customHeight="false" outlineLevel="0" collapsed="false">
      <c r="A31" s="44" t="str">
        <f aca="false">IF(Employees!$B$31="","",Employees!$B$31)</f>
        <v/>
      </c>
      <c r="B31" s="46" t="str">
        <f aca="false">IF(Employees!$B$31="","",SUMIFS('Time Entry'!$G$4:$G$1003,'Time Entry'!$C$4:$C$1003,Employees!$B$31))</f>
        <v/>
      </c>
      <c r="C31" s="46" t="str">
        <f aca="false">IF(Employees!$B$31="","",SUMIFS('Time Entry'!$G$4:$G$1003,'Time Entry'!$C$4:$C$1003,Employees!$B$31,'Time Entry'!$H$4:$H$1003,"Yes"))</f>
        <v/>
      </c>
      <c r="D31" s="46" t="str">
        <f aca="false">IF(Employees!$B$31="","",B31-C31)</f>
        <v/>
      </c>
      <c r="E31" s="47" t="str">
        <f aca="false">IF(OR(Employees!$B$31="",B31=0),"",C31/B31)</f>
        <v/>
      </c>
      <c r="F31" s="47" t="str">
        <f aca="false">IF(Employees!$B$31="","",Employees!$G$31)</f>
        <v/>
      </c>
      <c r="G31" s="53" t="str">
        <f aca="false">IF(Employees!$B$31="","",SUMIFS('Time Entry'!$J$4:$J$1003,'Time Entry'!$C$4:$C$1003,Employees!$B$31))</f>
        <v/>
      </c>
    </row>
    <row r="32" customFormat="false" ht="15" hidden="false" customHeight="false" outlineLevel="0" collapsed="false">
      <c r="A32" s="40" t="str">
        <f aca="false">IF(Employees!$B$32="","",Employees!$B$32)</f>
        <v/>
      </c>
      <c r="B32" s="42" t="str">
        <f aca="false">IF(Employees!$B$32="","",SUMIFS('Time Entry'!$G$4:$G$1003,'Time Entry'!$C$4:$C$1003,Employees!$B$32))</f>
        <v/>
      </c>
      <c r="C32" s="42" t="str">
        <f aca="false">IF(Employees!$B$32="","",SUMIFS('Time Entry'!$G$4:$G$1003,'Time Entry'!$C$4:$C$1003,Employees!$B$32,'Time Entry'!$H$4:$H$1003,"Yes"))</f>
        <v/>
      </c>
      <c r="D32" s="42" t="str">
        <f aca="false">IF(Employees!$B$32="","",B32-C32)</f>
        <v/>
      </c>
      <c r="E32" s="43" t="str">
        <f aca="false">IF(OR(Employees!$B$32="",B32=0),"",C32/B32)</f>
        <v/>
      </c>
      <c r="F32" s="43" t="str">
        <f aca="false">IF(Employees!$B$32="","",Employees!$G$32)</f>
        <v/>
      </c>
      <c r="G32" s="52" t="str">
        <f aca="false">IF(Employees!$B$32="","",SUMIFS('Time Entry'!$J$4:$J$1003,'Time Entry'!$C$4:$C$1003,Employees!$B$32))</f>
        <v/>
      </c>
    </row>
    <row r="33" customFormat="false" ht="15" hidden="false" customHeight="false" outlineLevel="0" collapsed="false">
      <c r="A33" s="44" t="str">
        <f aca="false">IF(Employees!$B$33="","",Employees!$B$33)</f>
        <v/>
      </c>
      <c r="B33" s="46" t="str">
        <f aca="false">IF(Employees!$B$33="","",SUMIFS('Time Entry'!$G$4:$G$1003,'Time Entry'!$C$4:$C$1003,Employees!$B$33))</f>
        <v/>
      </c>
      <c r="C33" s="46" t="str">
        <f aca="false">IF(Employees!$B$33="","",SUMIFS('Time Entry'!$G$4:$G$1003,'Time Entry'!$C$4:$C$1003,Employees!$B$33,'Time Entry'!$H$4:$H$1003,"Yes"))</f>
        <v/>
      </c>
      <c r="D33" s="46" t="str">
        <f aca="false">IF(Employees!$B$33="","",B33-C33)</f>
        <v/>
      </c>
      <c r="E33" s="47" t="str">
        <f aca="false">IF(OR(Employees!$B$33="",B33=0),"",C33/B33)</f>
        <v/>
      </c>
      <c r="F33" s="47" t="str">
        <f aca="false">IF(Employees!$B$33="","",Employees!$G$33)</f>
        <v/>
      </c>
      <c r="G33" s="53" t="str">
        <f aca="false">IF(Employees!$B$33="","",SUMIFS('Time Entry'!$J$4:$J$1003,'Time Entry'!$C$4:$C$1003,Employees!$B$33))</f>
        <v/>
      </c>
    </row>
    <row r="34" customFormat="false" ht="15" hidden="false" customHeight="false" outlineLevel="0" collapsed="false">
      <c r="A34" s="40" t="str">
        <f aca="false">IF(Employees!$B$34="","",Employees!$B$34)</f>
        <v/>
      </c>
      <c r="B34" s="42" t="str">
        <f aca="false">IF(Employees!$B$34="","",SUMIFS('Time Entry'!$G$4:$G$1003,'Time Entry'!$C$4:$C$1003,Employees!$B$34))</f>
        <v/>
      </c>
      <c r="C34" s="42" t="str">
        <f aca="false">IF(Employees!$B$34="","",SUMIFS('Time Entry'!$G$4:$G$1003,'Time Entry'!$C$4:$C$1003,Employees!$B$34,'Time Entry'!$H$4:$H$1003,"Yes"))</f>
        <v/>
      </c>
      <c r="D34" s="42" t="str">
        <f aca="false">IF(Employees!$B$34="","",B34-C34)</f>
        <v/>
      </c>
      <c r="E34" s="43" t="str">
        <f aca="false">IF(OR(Employees!$B$34="",B34=0),"",C34/B34)</f>
        <v/>
      </c>
      <c r="F34" s="43" t="str">
        <f aca="false">IF(Employees!$B$34="","",Employees!$G$34)</f>
        <v/>
      </c>
      <c r="G34" s="52" t="str">
        <f aca="false">IF(Employees!$B$34="","",SUMIFS('Time Entry'!$J$4:$J$1003,'Time Entry'!$C$4:$C$1003,Employees!$B$34))</f>
        <v/>
      </c>
    </row>
    <row r="35" customFormat="false" ht="15" hidden="false" customHeight="false" outlineLevel="0" collapsed="false">
      <c r="A35" s="44" t="str">
        <f aca="false">IF(Employees!$B$35="","",Employees!$B$35)</f>
        <v/>
      </c>
      <c r="B35" s="46" t="str">
        <f aca="false">IF(Employees!$B$35="","",SUMIFS('Time Entry'!$G$4:$G$1003,'Time Entry'!$C$4:$C$1003,Employees!$B$35))</f>
        <v/>
      </c>
      <c r="C35" s="46" t="str">
        <f aca="false">IF(Employees!$B$35="","",SUMIFS('Time Entry'!$G$4:$G$1003,'Time Entry'!$C$4:$C$1003,Employees!$B$35,'Time Entry'!$H$4:$H$1003,"Yes"))</f>
        <v/>
      </c>
      <c r="D35" s="46" t="str">
        <f aca="false">IF(Employees!$B$35="","",B35-C35)</f>
        <v/>
      </c>
      <c r="E35" s="47" t="str">
        <f aca="false">IF(OR(Employees!$B$35="",B35=0),"",C35/B35)</f>
        <v/>
      </c>
      <c r="F35" s="47" t="str">
        <f aca="false">IF(Employees!$B$35="","",Employees!$G$35)</f>
        <v/>
      </c>
      <c r="G35" s="53" t="str">
        <f aca="false">IF(Employees!$B$35="","",SUMIFS('Time Entry'!$J$4:$J$1003,'Time Entry'!$C$4:$C$1003,Employees!$B$35))</f>
        <v/>
      </c>
    </row>
    <row r="36" customFormat="false" ht="15" hidden="false" customHeight="false" outlineLevel="0" collapsed="false">
      <c r="A36" s="40" t="str">
        <f aca="false">IF(Employees!$B$36="","",Employees!$B$36)</f>
        <v/>
      </c>
      <c r="B36" s="42" t="str">
        <f aca="false">IF(Employees!$B$36="","",SUMIFS('Time Entry'!$G$4:$G$1003,'Time Entry'!$C$4:$C$1003,Employees!$B$36))</f>
        <v/>
      </c>
      <c r="C36" s="42" t="str">
        <f aca="false">IF(Employees!$B$36="","",SUMIFS('Time Entry'!$G$4:$G$1003,'Time Entry'!$C$4:$C$1003,Employees!$B$36,'Time Entry'!$H$4:$H$1003,"Yes"))</f>
        <v/>
      </c>
      <c r="D36" s="42" t="str">
        <f aca="false">IF(Employees!$B$36="","",B36-C36)</f>
        <v/>
      </c>
      <c r="E36" s="43" t="str">
        <f aca="false">IF(OR(Employees!$B$36="",B36=0),"",C36/B36)</f>
        <v/>
      </c>
      <c r="F36" s="43" t="str">
        <f aca="false">IF(Employees!$B$36="","",Employees!$G$36)</f>
        <v/>
      </c>
      <c r="G36" s="52" t="str">
        <f aca="false">IF(Employees!$B$36="","",SUMIFS('Time Entry'!$J$4:$J$1003,'Time Entry'!$C$4:$C$1003,Employees!$B$36))</f>
        <v/>
      </c>
    </row>
    <row r="37" customFormat="false" ht="15" hidden="false" customHeight="false" outlineLevel="0" collapsed="false">
      <c r="A37" s="44" t="str">
        <f aca="false">IF(Employees!$B$37="","",Employees!$B$37)</f>
        <v/>
      </c>
      <c r="B37" s="46" t="str">
        <f aca="false">IF(Employees!$B$37="","",SUMIFS('Time Entry'!$G$4:$G$1003,'Time Entry'!$C$4:$C$1003,Employees!$B$37))</f>
        <v/>
      </c>
      <c r="C37" s="46" t="str">
        <f aca="false">IF(Employees!$B$37="","",SUMIFS('Time Entry'!$G$4:$G$1003,'Time Entry'!$C$4:$C$1003,Employees!$B$37,'Time Entry'!$H$4:$H$1003,"Yes"))</f>
        <v/>
      </c>
      <c r="D37" s="46" t="str">
        <f aca="false">IF(Employees!$B$37="","",B37-C37)</f>
        <v/>
      </c>
      <c r="E37" s="47" t="str">
        <f aca="false">IF(OR(Employees!$B$37="",B37=0),"",C37/B37)</f>
        <v/>
      </c>
      <c r="F37" s="47" t="str">
        <f aca="false">IF(Employees!$B$37="","",Employees!$G$37)</f>
        <v/>
      </c>
      <c r="G37" s="53" t="str">
        <f aca="false">IF(Employees!$B$37="","",SUMIFS('Time Entry'!$J$4:$J$1003,'Time Entry'!$C$4:$C$1003,Employees!$B$37))</f>
        <v/>
      </c>
    </row>
    <row r="38" customFormat="false" ht="15" hidden="false" customHeight="false" outlineLevel="0" collapsed="false">
      <c r="A38" s="40" t="str">
        <f aca="false">IF(Employees!$B$38="","",Employees!$B$38)</f>
        <v/>
      </c>
      <c r="B38" s="42" t="str">
        <f aca="false">IF(Employees!$B$38="","",SUMIFS('Time Entry'!$G$4:$G$1003,'Time Entry'!$C$4:$C$1003,Employees!$B$38))</f>
        <v/>
      </c>
      <c r="C38" s="42" t="str">
        <f aca="false">IF(Employees!$B$38="","",SUMIFS('Time Entry'!$G$4:$G$1003,'Time Entry'!$C$4:$C$1003,Employees!$B$38,'Time Entry'!$H$4:$H$1003,"Yes"))</f>
        <v/>
      </c>
      <c r="D38" s="42" t="str">
        <f aca="false">IF(Employees!$B$38="","",B38-C38)</f>
        <v/>
      </c>
      <c r="E38" s="43" t="str">
        <f aca="false">IF(OR(Employees!$B$38="",B38=0),"",C38/B38)</f>
        <v/>
      </c>
      <c r="F38" s="43" t="str">
        <f aca="false">IF(Employees!$B$38="","",Employees!$G$38)</f>
        <v/>
      </c>
      <c r="G38" s="52" t="str">
        <f aca="false">IF(Employees!$B$38="","",SUMIFS('Time Entry'!$J$4:$J$1003,'Time Entry'!$C$4:$C$1003,Employees!$B$38))</f>
        <v/>
      </c>
    </row>
    <row r="39" customFormat="false" ht="15" hidden="false" customHeight="false" outlineLevel="0" collapsed="false">
      <c r="A39" s="44" t="str">
        <f aca="false">IF(Employees!$B$39="","",Employees!$B$39)</f>
        <v/>
      </c>
      <c r="B39" s="46" t="str">
        <f aca="false">IF(Employees!$B$39="","",SUMIFS('Time Entry'!$G$4:$G$1003,'Time Entry'!$C$4:$C$1003,Employees!$B$39))</f>
        <v/>
      </c>
      <c r="C39" s="46" t="str">
        <f aca="false">IF(Employees!$B$39="","",SUMIFS('Time Entry'!$G$4:$G$1003,'Time Entry'!$C$4:$C$1003,Employees!$B$39,'Time Entry'!$H$4:$H$1003,"Yes"))</f>
        <v/>
      </c>
      <c r="D39" s="46" t="str">
        <f aca="false">IF(Employees!$B$39="","",B39-C39)</f>
        <v/>
      </c>
      <c r="E39" s="47" t="str">
        <f aca="false">IF(OR(Employees!$B$39="",B39=0),"",C39/B39)</f>
        <v/>
      </c>
      <c r="F39" s="47" t="str">
        <f aca="false">IF(Employees!$B$39="","",Employees!$G$39)</f>
        <v/>
      </c>
      <c r="G39" s="53" t="str">
        <f aca="false">IF(Employees!$B$39="","",SUMIFS('Time Entry'!$J$4:$J$1003,'Time Entry'!$C$4:$C$1003,Employees!$B$39))</f>
        <v/>
      </c>
    </row>
    <row r="40" customFormat="false" ht="15" hidden="false" customHeight="false" outlineLevel="0" collapsed="false">
      <c r="A40" s="40" t="str">
        <f aca="false">IF(Employees!$B$40="","",Employees!$B$40)</f>
        <v/>
      </c>
      <c r="B40" s="42" t="str">
        <f aca="false">IF(Employees!$B$40="","",SUMIFS('Time Entry'!$G$4:$G$1003,'Time Entry'!$C$4:$C$1003,Employees!$B$40))</f>
        <v/>
      </c>
      <c r="C40" s="42" t="str">
        <f aca="false">IF(Employees!$B$40="","",SUMIFS('Time Entry'!$G$4:$G$1003,'Time Entry'!$C$4:$C$1003,Employees!$B$40,'Time Entry'!$H$4:$H$1003,"Yes"))</f>
        <v/>
      </c>
      <c r="D40" s="42" t="str">
        <f aca="false">IF(Employees!$B$40="","",B40-C40)</f>
        <v/>
      </c>
      <c r="E40" s="43" t="str">
        <f aca="false">IF(OR(Employees!$B$40="",B40=0),"",C40/B40)</f>
        <v/>
      </c>
      <c r="F40" s="43" t="str">
        <f aca="false">IF(Employees!$B$40="","",Employees!$G$40)</f>
        <v/>
      </c>
      <c r="G40" s="52" t="str">
        <f aca="false">IF(Employees!$B$40="","",SUMIFS('Time Entry'!$J$4:$J$1003,'Time Entry'!$C$4:$C$1003,Employees!$B$40))</f>
        <v/>
      </c>
    </row>
    <row r="41" customFormat="false" ht="15" hidden="false" customHeight="false" outlineLevel="0" collapsed="false">
      <c r="A41" s="44" t="str">
        <f aca="false">IF(Employees!$B$41="","",Employees!$B$41)</f>
        <v/>
      </c>
      <c r="B41" s="46" t="str">
        <f aca="false">IF(Employees!$B$41="","",SUMIFS('Time Entry'!$G$4:$G$1003,'Time Entry'!$C$4:$C$1003,Employees!$B$41))</f>
        <v/>
      </c>
      <c r="C41" s="46" t="str">
        <f aca="false">IF(Employees!$B$41="","",SUMIFS('Time Entry'!$G$4:$G$1003,'Time Entry'!$C$4:$C$1003,Employees!$B$41,'Time Entry'!$H$4:$H$1003,"Yes"))</f>
        <v/>
      </c>
      <c r="D41" s="46" t="str">
        <f aca="false">IF(Employees!$B$41="","",B41-C41)</f>
        <v/>
      </c>
      <c r="E41" s="47" t="str">
        <f aca="false">IF(OR(Employees!$B$41="",B41=0),"",C41/B41)</f>
        <v/>
      </c>
      <c r="F41" s="47" t="str">
        <f aca="false">IF(Employees!$B$41="","",Employees!$G$41)</f>
        <v/>
      </c>
      <c r="G41" s="53" t="str">
        <f aca="false">IF(Employees!$B$41="","",SUMIFS('Time Entry'!$J$4:$J$1003,'Time Entry'!$C$4:$C$1003,Employees!$B$41))</f>
        <v/>
      </c>
    </row>
    <row r="42" customFormat="false" ht="15" hidden="false" customHeight="false" outlineLevel="0" collapsed="false">
      <c r="A42" s="40" t="str">
        <f aca="false">IF(Employees!$B$42="","",Employees!$B$42)</f>
        <v/>
      </c>
      <c r="B42" s="42" t="str">
        <f aca="false">IF(Employees!$B$42="","",SUMIFS('Time Entry'!$G$4:$G$1003,'Time Entry'!$C$4:$C$1003,Employees!$B$42))</f>
        <v/>
      </c>
      <c r="C42" s="42" t="str">
        <f aca="false">IF(Employees!$B$42="","",SUMIFS('Time Entry'!$G$4:$G$1003,'Time Entry'!$C$4:$C$1003,Employees!$B$42,'Time Entry'!$H$4:$H$1003,"Yes"))</f>
        <v/>
      </c>
      <c r="D42" s="42" t="str">
        <f aca="false">IF(Employees!$B$42="","",B42-C42)</f>
        <v/>
      </c>
      <c r="E42" s="43" t="str">
        <f aca="false">IF(OR(Employees!$B$42="",B42=0),"",C42/B42)</f>
        <v/>
      </c>
      <c r="F42" s="43" t="str">
        <f aca="false">IF(Employees!$B$42="","",Employees!$G$42)</f>
        <v/>
      </c>
      <c r="G42" s="52" t="str">
        <f aca="false">IF(Employees!$B$42="","",SUMIFS('Time Entry'!$J$4:$J$1003,'Time Entry'!$C$4:$C$1003,Employees!$B$42))</f>
        <v/>
      </c>
    </row>
    <row r="43" customFormat="false" ht="15" hidden="false" customHeight="false" outlineLevel="0" collapsed="false">
      <c r="A43" s="44" t="str">
        <f aca="false">IF(Employees!$B$43="","",Employees!$B$43)</f>
        <v/>
      </c>
      <c r="B43" s="46" t="str">
        <f aca="false">IF(Employees!$B$43="","",SUMIFS('Time Entry'!$G$4:$G$1003,'Time Entry'!$C$4:$C$1003,Employees!$B$43))</f>
        <v/>
      </c>
      <c r="C43" s="46" t="str">
        <f aca="false">IF(Employees!$B$43="","",SUMIFS('Time Entry'!$G$4:$G$1003,'Time Entry'!$C$4:$C$1003,Employees!$B$43,'Time Entry'!$H$4:$H$1003,"Yes"))</f>
        <v/>
      </c>
      <c r="D43" s="46" t="str">
        <f aca="false">IF(Employees!$B$43="","",B43-C43)</f>
        <v/>
      </c>
      <c r="E43" s="47" t="str">
        <f aca="false">IF(OR(Employees!$B$43="",B43=0),"",C43/B43)</f>
        <v/>
      </c>
      <c r="F43" s="47" t="str">
        <f aca="false">IF(Employees!$B$43="","",Employees!$G$43)</f>
        <v/>
      </c>
      <c r="G43" s="53" t="str">
        <f aca="false">IF(Employees!$B$43="","",SUMIFS('Time Entry'!$J$4:$J$1003,'Time Entry'!$C$4:$C$1003,Employees!$B$43))</f>
        <v/>
      </c>
    </row>
    <row r="44" customFormat="false" ht="15" hidden="false" customHeight="false" outlineLevel="0" collapsed="false">
      <c r="A44" s="49" t="s">
        <v>124</v>
      </c>
      <c r="B44" s="50" t="n">
        <f aca="false">SUM(B4:B43)</f>
        <v>6.5</v>
      </c>
      <c r="C44" s="50" t="n">
        <f aca="false">SUM(C4:C43)</f>
        <v>6.5</v>
      </c>
      <c r="D44" s="50" t="n">
        <f aca="false">SUM(D4:D43)</f>
        <v>0</v>
      </c>
      <c r="E44" s="54" t="n">
        <f aca="false">IF(B44=0,"",C44/B44)</f>
        <v>1</v>
      </c>
      <c r="F44" s="49"/>
      <c r="G44" s="51" t="n">
        <f aca="false">SUM(G4:G43)</f>
        <v>942.5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5" t="s">
        <v>125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.75" hidden="false" customHeight="true" outlineLevel="0" collapsed="false">
      <c r="A2" s="16" t="s">
        <v>126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30" hidden="false" customHeight="true" outlineLevel="0" collapsed="false">
      <c r="A3" s="17" t="s">
        <v>127</v>
      </c>
      <c r="B3" s="17" t="s">
        <v>36</v>
      </c>
      <c r="C3" s="17" t="s">
        <v>57</v>
      </c>
      <c r="D3" s="17" t="s">
        <v>50</v>
      </c>
      <c r="E3" s="17" t="s">
        <v>128</v>
      </c>
      <c r="F3" s="17" t="s">
        <v>60</v>
      </c>
      <c r="G3" s="17" t="s">
        <v>129</v>
      </c>
      <c r="H3" s="17" t="s">
        <v>130</v>
      </c>
      <c r="I3" s="17" t="s">
        <v>131</v>
      </c>
      <c r="J3" s="17" t="s">
        <v>132</v>
      </c>
    </row>
    <row r="4" customFormat="false" ht="15" hidden="false" customHeight="false" outlineLevel="0" collapsed="false">
      <c r="A4" s="21" t="s">
        <v>133</v>
      </c>
      <c r="B4" s="18" t="s">
        <v>134</v>
      </c>
      <c r="C4" s="20" t="s">
        <v>65</v>
      </c>
      <c r="D4" s="20" t="s">
        <v>51</v>
      </c>
      <c r="E4" s="20" t="s">
        <v>135</v>
      </c>
      <c r="F4" s="21" t="s">
        <v>136</v>
      </c>
      <c r="G4" s="34" t="n">
        <v>900</v>
      </c>
      <c r="H4" s="18"/>
      <c r="I4" s="23" t="str">
        <f aca="false">IF(D4="","",IF(F4="Paid","Yes","No"))</f>
        <v>No</v>
      </c>
      <c r="J4" s="52" t="n">
        <f aca="false">IF(D4="","",IFERROR(INDEX('Project Summary'!$J$4:$J$63,MATCH(D4,'Project Summary'!$C$4:$C$63,0)),""))</f>
        <v>42.5</v>
      </c>
    </row>
    <row r="5" customFormat="false" ht="15" hidden="false" customHeight="false" outlineLevel="0" collapsed="false">
      <c r="A5" s="29"/>
      <c r="B5" s="26"/>
      <c r="C5" s="28"/>
      <c r="D5" s="28"/>
      <c r="E5" s="28"/>
      <c r="F5" s="29"/>
      <c r="G5" s="35"/>
      <c r="H5" s="26"/>
      <c r="I5" s="31" t="str">
        <f aca="false">IF(D5="","",IF(F5="Paid","Yes","No"))</f>
        <v/>
      </c>
      <c r="J5" s="53" t="str">
        <f aca="false">IF(D5="","",IFERROR(INDEX('Project Summary'!$J$4:$J$63,MATCH(D5,'Project Summary'!$C$4:$C$63,0)),""))</f>
        <v/>
      </c>
    </row>
    <row r="6" customFormat="false" ht="15" hidden="false" customHeight="false" outlineLevel="0" collapsed="false">
      <c r="A6" s="29"/>
      <c r="B6" s="26"/>
      <c r="C6" s="28"/>
      <c r="D6" s="28"/>
      <c r="E6" s="28"/>
      <c r="F6" s="29"/>
      <c r="G6" s="35"/>
      <c r="H6" s="26"/>
      <c r="I6" s="23" t="str">
        <f aca="false">IF(D6="","",IF(F6="Paid","Yes","No"))</f>
        <v/>
      </c>
      <c r="J6" s="52" t="str">
        <f aca="false">IF(D6="","",IFERROR(INDEX('Project Summary'!$J$4:$J$63,MATCH(D6,'Project Summary'!$C$4:$C$63,0)),""))</f>
        <v/>
      </c>
    </row>
    <row r="7" customFormat="false" ht="15" hidden="false" customHeight="false" outlineLevel="0" collapsed="false">
      <c r="A7" s="29"/>
      <c r="B7" s="26"/>
      <c r="C7" s="28"/>
      <c r="D7" s="28"/>
      <c r="E7" s="28"/>
      <c r="F7" s="29"/>
      <c r="G7" s="35"/>
      <c r="H7" s="26"/>
      <c r="I7" s="31" t="str">
        <f aca="false">IF(D7="","",IF(F7="Paid","Yes","No"))</f>
        <v/>
      </c>
      <c r="J7" s="53" t="str">
        <f aca="false">IF(D7="","",IFERROR(INDEX('Project Summary'!$J$4:$J$63,MATCH(D7,'Project Summary'!$C$4:$C$63,0)),""))</f>
        <v/>
      </c>
    </row>
    <row r="8" customFormat="false" ht="15" hidden="false" customHeight="false" outlineLevel="0" collapsed="false">
      <c r="A8" s="29"/>
      <c r="B8" s="26"/>
      <c r="C8" s="28"/>
      <c r="D8" s="28"/>
      <c r="E8" s="28"/>
      <c r="F8" s="29"/>
      <c r="G8" s="35"/>
      <c r="H8" s="26"/>
      <c r="I8" s="23" t="str">
        <f aca="false">IF(D8="","",IF(F8="Paid","Yes","No"))</f>
        <v/>
      </c>
      <c r="J8" s="52" t="str">
        <f aca="false">IF(D8="","",IFERROR(INDEX('Project Summary'!$J$4:$J$63,MATCH(D8,'Project Summary'!$C$4:$C$63,0)),""))</f>
        <v/>
      </c>
    </row>
    <row r="9" customFormat="false" ht="15" hidden="false" customHeight="false" outlineLevel="0" collapsed="false">
      <c r="A9" s="29"/>
      <c r="B9" s="26"/>
      <c r="C9" s="28"/>
      <c r="D9" s="28"/>
      <c r="E9" s="28"/>
      <c r="F9" s="29"/>
      <c r="G9" s="35"/>
      <c r="H9" s="26"/>
      <c r="I9" s="31" t="str">
        <f aca="false">IF(D9="","",IF(F9="Paid","Yes","No"))</f>
        <v/>
      </c>
      <c r="J9" s="53" t="str">
        <f aca="false">IF(D9="","",IFERROR(INDEX('Project Summary'!$J$4:$J$63,MATCH(D9,'Project Summary'!$C$4:$C$63,0)),""))</f>
        <v/>
      </c>
    </row>
    <row r="10" customFormat="false" ht="15" hidden="false" customHeight="false" outlineLevel="0" collapsed="false">
      <c r="A10" s="29"/>
      <c r="B10" s="26"/>
      <c r="C10" s="28"/>
      <c r="D10" s="28"/>
      <c r="E10" s="28"/>
      <c r="F10" s="29"/>
      <c r="G10" s="35"/>
      <c r="H10" s="26"/>
      <c r="I10" s="23" t="str">
        <f aca="false">IF(D10="","",IF(F10="Paid","Yes","No"))</f>
        <v/>
      </c>
      <c r="J10" s="52" t="str">
        <f aca="false">IF(D10="","",IFERROR(INDEX('Project Summary'!$J$4:$J$63,MATCH(D10,'Project Summary'!$C$4:$C$63,0)),""))</f>
        <v/>
      </c>
    </row>
    <row r="11" customFormat="false" ht="15" hidden="false" customHeight="false" outlineLevel="0" collapsed="false">
      <c r="A11" s="29"/>
      <c r="B11" s="26"/>
      <c r="C11" s="28"/>
      <c r="D11" s="28"/>
      <c r="E11" s="28"/>
      <c r="F11" s="29"/>
      <c r="G11" s="35"/>
      <c r="H11" s="26"/>
      <c r="I11" s="31" t="str">
        <f aca="false">IF(D11="","",IF(F11="Paid","Yes","No"))</f>
        <v/>
      </c>
      <c r="J11" s="53" t="str">
        <f aca="false">IF(D11="","",IFERROR(INDEX('Project Summary'!$J$4:$J$63,MATCH(D11,'Project Summary'!$C$4:$C$63,0)),""))</f>
        <v/>
      </c>
    </row>
    <row r="12" customFormat="false" ht="15" hidden="false" customHeight="false" outlineLevel="0" collapsed="false">
      <c r="A12" s="29"/>
      <c r="B12" s="26"/>
      <c r="C12" s="28"/>
      <c r="D12" s="28"/>
      <c r="E12" s="28"/>
      <c r="F12" s="29"/>
      <c r="G12" s="35"/>
      <c r="H12" s="26"/>
      <c r="I12" s="23" t="str">
        <f aca="false">IF(D12="","",IF(F12="Paid","Yes","No"))</f>
        <v/>
      </c>
      <c r="J12" s="52" t="str">
        <f aca="false">IF(D12="","",IFERROR(INDEX('Project Summary'!$J$4:$J$63,MATCH(D12,'Project Summary'!$C$4:$C$63,0)),""))</f>
        <v/>
      </c>
    </row>
    <row r="13" customFormat="false" ht="15" hidden="false" customHeight="false" outlineLevel="0" collapsed="false">
      <c r="A13" s="29"/>
      <c r="B13" s="26"/>
      <c r="C13" s="28"/>
      <c r="D13" s="28"/>
      <c r="E13" s="28"/>
      <c r="F13" s="29"/>
      <c r="G13" s="35"/>
      <c r="H13" s="26"/>
      <c r="I13" s="31" t="str">
        <f aca="false">IF(D13="","",IF(F13="Paid","Yes","No"))</f>
        <v/>
      </c>
      <c r="J13" s="53" t="str">
        <f aca="false">IF(D13="","",IFERROR(INDEX('Project Summary'!$J$4:$J$63,MATCH(D13,'Project Summary'!$C$4:$C$63,0)),""))</f>
        <v/>
      </c>
    </row>
    <row r="14" customFormat="false" ht="15" hidden="false" customHeight="false" outlineLevel="0" collapsed="false">
      <c r="A14" s="29"/>
      <c r="B14" s="26"/>
      <c r="C14" s="28"/>
      <c r="D14" s="28"/>
      <c r="E14" s="28"/>
      <c r="F14" s="29"/>
      <c r="G14" s="35"/>
      <c r="H14" s="26"/>
      <c r="I14" s="23" t="str">
        <f aca="false">IF(D14="","",IF(F14="Paid","Yes","No"))</f>
        <v/>
      </c>
      <c r="J14" s="52" t="str">
        <f aca="false">IF(D14="","",IFERROR(INDEX('Project Summary'!$J$4:$J$63,MATCH(D14,'Project Summary'!$C$4:$C$63,0)),""))</f>
        <v/>
      </c>
    </row>
    <row r="15" customFormat="false" ht="15" hidden="false" customHeight="false" outlineLevel="0" collapsed="false">
      <c r="A15" s="29"/>
      <c r="B15" s="26"/>
      <c r="C15" s="28"/>
      <c r="D15" s="28"/>
      <c r="E15" s="28"/>
      <c r="F15" s="29"/>
      <c r="G15" s="35"/>
      <c r="H15" s="26"/>
      <c r="I15" s="31" t="str">
        <f aca="false">IF(D15="","",IF(F15="Paid","Yes","No"))</f>
        <v/>
      </c>
      <c r="J15" s="53" t="str">
        <f aca="false">IF(D15="","",IFERROR(INDEX('Project Summary'!$J$4:$J$63,MATCH(D15,'Project Summary'!$C$4:$C$63,0)),""))</f>
        <v/>
      </c>
    </row>
    <row r="16" customFormat="false" ht="15" hidden="false" customHeight="false" outlineLevel="0" collapsed="false">
      <c r="A16" s="29"/>
      <c r="B16" s="26"/>
      <c r="C16" s="28"/>
      <c r="D16" s="28"/>
      <c r="E16" s="28"/>
      <c r="F16" s="29"/>
      <c r="G16" s="35"/>
      <c r="H16" s="26"/>
      <c r="I16" s="23" t="str">
        <f aca="false">IF(D16="","",IF(F16="Paid","Yes","No"))</f>
        <v/>
      </c>
      <c r="J16" s="52" t="str">
        <f aca="false">IF(D16="","",IFERROR(INDEX('Project Summary'!$J$4:$J$63,MATCH(D16,'Project Summary'!$C$4:$C$63,0)),""))</f>
        <v/>
      </c>
    </row>
    <row r="17" customFormat="false" ht="15" hidden="false" customHeight="false" outlineLevel="0" collapsed="false">
      <c r="A17" s="29"/>
      <c r="B17" s="26"/>
      <c r="C17" s="28"/>
      <c r="D17" s="28"/>
      <c r="E17" s="28"/>
      <c r="F17" s="29"/>
      <c r="G17" s="35"/>
      <c r="H17" s="26"/>
      <c r="I17" s="31" t="str">
        <f aca="false">IF(D17="","",IF(F17="Paid","Yes","No"))</f>
        <v/>
      </c>
      <c r="J17" s="53" t="str">
        <f aca="false">IF(D17="","",IFERROR(INDEX('Project Summary'!$J$4:$J$63,MATCH(D17,'Project Summary'!$C$4:$C$63,0)),""))</f>
        <v/>
      </c>
    </row>
    <row r="18" customFormat="false" ht="15" hidden="false" customHeight="false" outlineLevel="0" collapsed="false">
      <c r="A18" s="29"/>
      <c r="B18" s="26"/>
      <c r="C18" s="28"/>
      <c r="D18" s="28"/>
      <c r="E18" s="28"/>
      <c r="F18" s="29"/>
      <c r="G18" s="35"/>
      <c r="H18" s="26"/>
      <c r="I18" s="23" t="str">
        <f aca="false">IF(D18="","",IF(F18="Paid","Yes","No"))</f>
        <v/>
      </c>
      <c r="J18" s="52" t="str">
        <f aca="false">IF(D18="","",IFERROR(INDEX('Project Summary'!$J$4:$J$63,MATCH(D18,'Project Summary'!$C$4:$C$63,0)),""))</f>
        <v/>
      </c>
    </row>
    <row r="19" customFormat="false" ht="15" hidden="false" customHeight="false" outlineLevel="0" collapsed="false">
      <c r="A19" s="29"/>
      <c r="B19" s="26"/>
      <c r="C19" s="28"/>
      <c r="D19" s="28"/>
      <c r="E19" s="28"/>
      <c r="F19" s="29"/>
      <c r="G19" s="35"/>
      <c r="H19" s="26"/>
      <c r="I19" s="31" t="str">
        <f aca="false">IF(D19="","",IF(F19="Paid","Yes","No"))</f>
        <v/>
      </c>
      <c r="J19" s="53" t="str">
        <f aca="false">IF(D19="","",IFERROR(INDEX('Project Summary'!$J$4:$J$63,MATCH(D19,'Project Summary'!$C$4:$C$63,0)),""))</f>
        <v/>
      </c>
    </row>
    <row r="20" customFormat="false" ht="15" hidden="false" customHeight="false" outlineLevel="0" collapsed="false">
      <c r="A20" s="29"/>
      <c r="B20" s="26"/>
      <c r="C20" s="28"/>
      <c r="D20" s="28"/>
      <c r="E20" s="28"/>
      <c r="F20" s="29"/>
      <c r="G20" s="35"/>
      <c r="H20" s="26"/>
      <c r="I20" s="23" t="str">
        <f aca="false">IF(D20="","",IF(F20="Paid","Yes","No"))</f>
        <v/>
      </c>
      <c r="J20" s="52" t="str">
        <f aca="false">IF(D20="","",IFERROR(INDEX('Project Summary'!$J$4:$J$63,MATCH(D20,'Project Summary'!$C$4:$C$63,0)),""))</f>
        <v/>
      </c>
    </row>
    <row r="21" customFormat="false" ht="15" hidden="false" customHeight="false" outlineLevel="0" collapsed="false">
      <c r="A21" s="29"/>
      <c r="B21" s="26"/>
      <c r="C21" s="28"/>
      <c r="D21" s="28"/>
      <c r="E21" s="28"/>
      <c r="F21" s="29"/>
      <c r="G21" s="35"/>
      <c r="H21" s="26"/>
      <c r="I21" s="31" t="str">
        <f aca="false">IF(D21="","",IF(F21="Paid","Yes","No"))</f>
        <v/>
      </c>
      <c r="J21" s="53" t="str">
        <f aca="false">IF(D21="","",IFERROR(INDEX('Project Summary'!$J$4:$J$63,MATCH(D21,'Project Summary'!$C$4:$C$63,0)),""))</f>
        <v/>
      </c>
    </row>
    <row r="22" customFormat="false" ht="15" hidden="false" customHeight="false" outlineLevel="0" collapsed="false">
      <c r="A22" s="29"/>
      <c r="B22" s="26"/>
      <c r="C22" s="28"/>
      <c r="D22" s="28"/>
      <c r="E22" s="28"/>
      <c r="F22" s="29"/>
      <c r="G22" s="35"/>
      <c r="H22" s="26"/>
      <c r="I22" s="23" t="str">
        <f aca="false">IF(D22="","",IF(F22="Paid","Yes","No"))</f>
        <v/>
      </c>
      <c r="J22" s="52" t="str">
        <f aca="false">IF(D22="","",IFERROR(INDEX('Project Summary'!$J$4:$J$63,MATCH(D22,'Project Summary'!$C$4:$C$63,0)),""))</f>
        <v/>
      </c>
    </row>
    <row r="23" customFormat="false" ht="15" hidden="false" customHeight="false" outlineLevel="0" collapsed="false">
      <c r="A23" s="29"/>
      <c r="B23" s="26"/>
      <c r="C23" s="28"/>
      <c r="D23" s="28"/>
      <c r="E23" s="28"/>
      <c r="F23" s="29"/>
      <c r="G23" s="35"/>
      <c r="H23" s="26"/>
      <c r="I23" s="31" t="str">
        <f aca="false">IF(D23="","",IF(F23="Paid","Yes","No"))</f>
        <v/>
      </c>
      <c r="J23" s="53" t="str">
        <f aca="false">IF(D23="","",IFERROR(INDEX('Project Summary'!$J$4:$J$63,MATCH(D23,'Project Summary'!$C$4:$C$63,0)),""))</f>
        <v/>
      </c>
    </row>
    <row r="24" customFormat="false" ht="15" hidden="false" customHeight="false" outlineLevel="0" collapsed="false">
      <c r="A24" s="29"/>
      <c r="B24" s="26"/>
      <c r="C24" s="28"/>
      <c r="D24" s="28"/>
      <c r="E24" s="28"/>
      <c r="F24" s="29"/>
      <c r="G24" s="35"/>
      <c r="H24" s="26"/>
      <c r="I24" s="23" t="str">
        <f aca="false">IF(D24="","",IF(F24="Paid","Yes","No"))</f>
        <v/>
      </c>
      <c r="J24" s="52" t="str">
        <f aca="false">IF(D24="","",IFERROR(INDEX('Project Summary'!$J$4:$J$63,MATCH(D24,'Project Summary'!$C$4:$C$63,0)),""))</f>
        <v/>
      </c>
    </row>
    <row r="25" customFormat="false" ht="15" hidden="false" customHeight="false" outlineLevel="0" collapsed="false">
      <c r="A25" s="29"/>
      <c r="B25" s="26"/>
      <c r="C25" s="28"/>
      <c r="D25" s="28"/>
      <c r="E25" s="28"/>
      <c r="F25" s="29"/>
      <c r="G25" s="35"/>
      <c r="H25" s="26"/>
      <c r="I25" s="31" t="str">
        <f aca="false">IF(D25="","",IF(F25="Paid","Yes","No"))</f>
        <v/>
      </c>
      <c r="J25" s="53" t="str">
        <f aca="false">IF(D25="","",IFERROR(INDEX('Project Summary'!$J$4:$J$63,MATCH(D25,'Project Summary'!$C$4:$C$63,0)),""))</f>
        <v/>
      </c>
    </row>
    <row r="26" customFormat="false" ht="15" hidden="false" customHeight="false" outlineLevel="0" collapsed="false">
      <c r="A26" s="29"/>
      <c r="B26" s="26"/>
      <c r="C26" s="28"/>
      <c r="D26" s="28"/>
      <c r="E26" s="28"/>
      <c r="F26" s="29"/>
      <c r="G26" s="35"/>
      <c r="H26" s="26"/>
      <c r="I26" s="23" t="str">
        <f aca="false">IF(D26="","",IF(F26="Paid","Yes","No"))</f>
        <v/>
      </c>
      <c r="J26" s="52" t="str">
        <f aca="false">IF(D26="","",IFERROR(INDEX('Project Summary'!$J$4:$J$63,MATCH(D26,'Project Summary'!$C$4:$C$63,0)),""))</f>
        <v/>
      </c>
    </row>
    <row r="27" customFormat="false" ht="15" hidden="false" customHeight="false" outlineLevel="0" collapsed="false">
      <c r="A27" s="29"/>
      <c r="B27" s="26"/>
      <c r="C27" s="28"/>
      <c r="D27" s="28"/>
      <c r="E27" s="28"/>
      <c r="F27" s="29"/>
      <c r="G27" s="35"/>
      <c r="H27" s="26"/>
      <c r="I27" s="31" t="str">
        <f aca="false">IF(D27="","",IF(F27="Paid","Yes","No"))</f>
        <v/>
      </c>
      <c r="J27" s="53" t="str">
        <f aca="false">IF(D27="","",IFERROR(INDEX('Project Summary'!$J$4:$J$63,MATCH(D27,'Project Summary'!$C$4:$C$63,0)),""))</f>
        <v/>
      </c>
    </row>
    <row r="28" customFormat="false" ht="15" hidden="false" customHeight="false" outlineLevel="0" collapsed="false">
      <c r="A28" s="29"/>
      <c r="B28" s="26"/>
      <c r="C28" s="28"/>
      <c r="D28" s="28"/>
      <c r="E28" s="28"/>
      <c r="F28" s="29"/>
      <c r="G28" s="35"/>
      <c r="H28" s="26"/>
      <c r="I28" s="23" t="str">
        <f aca="false">IF(D28="","",IF(F28="Paid","Yes","No"))</f>
        <v/>
      </c>
      <c r="J28" s="52" t="str">
        <f aca="false">IF(D28="","",IFERROR(INDEX('Project Summary'!$J$4:$J$63,MATCH(D28,'Project Summary'!$C$4:$C$63,0)),""))</f>
        <v/>
      </c>
    </row>
    <row r="29" customFormat="false" ht="15" hidden="false" customHeight="false" outlineLevel="0" collapsed="false">
      <c r="A29" s="29"/>
      <c r="B29" s="26"/>
      <c r="C29" s="28"/>
      <c r="D29" s="28"/>
      <c r="E29" s="28"/>
      <c r="F29" s="29"/>
      <c r="G29" s="35"/>
      <c r="H29" s="26"/>
      <c r="I29" s="31" t="str">
        <f aca="false">IF(D29="","",IF(F29="Paid","Yes","No"))</f>
        <v/>
      </c>
      <c r="J29" s="53" t="str">
        <f aca="false">IF(D29="","",IFERROR(INDEX('Project Summary'!$J$4:$J$63,MATCH(D29,'Project Summary'!$C$4:$C$63,0)),""))</f>
        <v/>
      </c>
    </row>
    <row r="30" customFormat="false" ht="15" hidden="false" customHeight="false" outlineLevel="0" collapsed="false">
      <c r="A30" s="29"/>
      <c r="B30" s="26"/>
      <c r="C30" s="28"/>
      <c r="D30" s="28"/>
      <c r="E30" s="28"/>
      <c r="F30" s="29"/>
      <c r="G30" s="35"/>
      <c r="H30" s="26"/>
      <c r="I30" s="23" t="str">
        <f aca="false">IF(D30="","",IF(F30="Paid","Yes","No"))</f>
        <v/>
      </c>
      <c r="J30" s="52" t="str">
        <f aca="false">IF(D30="","",IFERROR(INDEX('Project Summary'!$J$4:$J$63,MATCH(D30,'Project Summary'!$C$4:$C$63,0)),""))</f>
        <v/>
      </c>
    </row>
    <row r="31" customFormat="false" ht="15" hidden="false" customHeight="false" outlineLevel="0" collapsed="false">
      <c r="A31" s="29"/>
      <c r="B31" s="26"/>
      <c r="C31" s="28"/>
      <c r="D31" s="28"/>
      <c r="E31" s="28"/>
      <c r="F31" s="29"/>
      <c r="G31" s="35"/>
      <c r="H31" s="26"/>
      <c r="I31" s="31" t="str">
        <f aca="false">IF(D31="","",IF(F31="Paid","Yes","No"))</f>
        <v/>
      </c>
      <c r="J31" s="53" t="str">
        <f aca="false">IF(D31="","",IFERROR(INDEX('Project Summary'!$J$4:$J$63,MATCH(D31,'Project Summary'!$C$4:$C$63,0)),""))</f>
        <v/>
      </c>
    </row>
    <row r="32" customFormat="false" ht="15" hidden="false" customHeight="false" outlineLevel="0" collapsed="false">
      <c r="A32" s="29"/>
      <c r="B32" s="26"/>
      <c r="C32" s="28"/>
      <c r="D32" s="28"/>
      <c r="E32" s="28"/>
      <c r="F32" s="29"/>
      <c r="G32" s="35"/>
      <c r="H32" s="26"/>
      <c r="I32" s="23" t="str">
        <f aca="false">IF(D32="","",IF(F32="Paid","Yes","No"))</f>
        <v/>
      </c>
      <c r="J32" s="52" t="str">
        <f aca="false">IF(D32="","",IFERROR(INDEX('Project Summary'!$J$4:$J$63,MATCH(D32,'Project Summary'!$C$4:$C$63,0)),""))</f>
        <v/>
      </c>
    </row>
    <row r="33" customFormat="false" ht="15" hidden="false" customHeight="false" outlineLevel="0" collapsed="false">
      <c r="A33" s="29"/>
      <c r="B33" s="26"/>
      <c r="C33" s="28"/>
      <c r="D33" s="28"/>
      <c r="E33" s="28"/>
      <c r="F33" s="29"/>
      <c r="G33" s="35"/>
      <c r="H33" s="26"/>
      <c r="I33" s="31" t="str">
        <f aca="false">IF(D33="","",IF(F33="Paid","Yes","No"))</f>
        <v/>
      </c>
      <c r="J33" s="53" t="str">
        <f aca="false">IF(D33="","",IFERROR(INDEX('Project Summary'!$J$4:$J$63,MATCH(D33,'Project Summary'!$C$4:$C$63,0)),""))</f>
        <v/>
      </c>
    </row>
    <row r="34" customFormat="false" ht="15" hidden="false" customHeight="false" outlineLevel="0" collapsed="false">
      <c r="A34" s="29"/>
      <c r="B34" s="26"/>
      <c r="C34" s="28"/>
      <c r="D34" s="28"/>
      <c r="E34" s="28"/>
      <c r="F34" s="29"/>
      <c r="G34" s="35"/>
      <c r="H34" s="26"/>
      <c r="I34" s="23" t="str">
        <f aca="false">IF(D34="","",IF(F34="Paid","Yes","No"))</f>
        <v/>
      </c>
      <c r="J34" s="52" t="str">
        <f aca="false">IF(D34="","",IFERROR(INDEX('Project Summary'!$J$4:$J$63,MATCH(D34,'Project Summary'!$C$4:$C$63,0)),""))</f>
        <v/>
      </c>
    </row>
    <row r="35" customFormat="false" ht="15" hidden="false" customHeight="false" outlineLevel="0" collapsed="false">
      <c r="A35" s="29"/>
      <c r="B35" s="26"/>
      <c r="C35" s="28"/>
      <c r="D35" s="28"/>
      <c r="E35" s="28"/>
      <c r="F35" s="29"/>
      <c r="G35" s="35"/>
      <c r="H35" s="26"/>
      <c r="I35" s="31" t="str">
        <f aca="false">IF(D35="","",IF(F35="Paid","Yes","No"))</f>
        <v/>
      </c>
      <c r="J35" s="53" t="str">
        <f aca="false">IF(D35="","",IFERROR(INDEX('Project Summary'!$J$4:$J$63,MATCH(D35,'Project Summary'!$C$4:$C$63,0)),""))</f>
        <v/>
      </c>
    </row>
    <row r="36" customFormat="false" ht="15" hidden="false" customHeight="false" outlineLevel="0" collapsed="false">
      <c r="A36" s="29"/>
      <c r="B36" s="26"/>
      <c r="C36" s="28"/>
      <c r="D36" s="28"/>
      <c r="E36" s="28"/>
      <c r="F36" s="29"/>
      <c r="G36" s="35"/>
      <c r="H36" s="26"/>
      <c r="I36" s="23" t="str">
        <f aca="false">IF(D36="","",IF(F36="Paid","Yes","No"))</f>
        <v/>
      </c>
      <c r="J36" s="52" t="str">
        <f aca="false">IF(D36="","",IFERROR(INDEX('Project Summary'!$J$4:$J$63,MATCH(D36,'Project Summary'!$C$4:$C$63,0)),""))</f>
        <v/>
      </c>
    </row>
    <row r="37" customFormat="false" ht="15" hidden="false" customHeight="false" outlineLevel="0" collapsed="false">
      <c r="A37" s="29"/>
      <c r="B37" s="26"/>
      <c r="C37" s="28"/>
      <c r="D37" s="28"/>
      <c r="E37" s="28"/>
      <c r="F37" s="29"/>
      <c r="G37" s="35"/>
      <c r="H37" s="26"/>
      <c r="I37" s="31" t="str">
        <f aca="false">IF(D37="","",IF(F37="Paid","Yes","No"))</f>
        <v/>
      </c>
      <c r="J37" s="53" t="str">
        <f aca="false">IF(D37="","",IFERROR(INDEX('Project Summary'!$J$4:$J$63,MATCH(D37,'Project Summary'!$C$4:$C$63,0)),""))</f>
        <v/>
      </c>
    </row>
    <row r="38" customFormat="false" ht="15" hidden="false" customHeight="false" outlineLevel="0" collapsed="false">
      <c r="A38" s="29"/>
      <c r="B38" s="26"/>
      <c r="C38" s="28"/>
      <c r="D38" s="28"/>
      <c r="E38" s="28"/>
      <c r="F38" s="29"/>
      <c r="G38" s="35"/>
      <c r="H38" s="26"/>
      <c r="I38" s="23" t="str">
        <f aca="false">IF(D38="","",IF(F38="Paid","Yes","No"))</f>
        <v/>
      </c>
      <c r="J38" s="52" t="str">
        <f aca="false">IF(D38="","",IFERROR(INDEX('Project Summary'!$J$4:$J$63,MATCH(D38,'Project Summary'!$C$4:$C$63,0)),""))</f>
        <v/>
      </c>
    </row>
    <row r="39" customFormat="false" ht="15" hidden="false" customHeight="false" outlineLevel="0" collapsed="false">
      <c r="A39" s="29"/>
      <c r="B39" s="26"/>
      <c r="C39" s="28"/>
      <c r="D39" s="28"/>
      <c r="E39" s="28"/>
      <c r="F39" s="29"/>
      <c r="G39" s="35"/>
      <c r="H39" s="26"/>
      <c r="I39" s="31" t="str">
        <f aca="false">IF(D39="","",IF(F39="Paid","Yes","No"))</f>
        <v/>
      </c>
      <c r="J39" s="53" t="str">
        <f aca="false">IF(D39="","",IFERROR(INDEX('Project Summary'!$J$4:$J$63,MATCH(D39,'Project Summary'!$C$4:$C$63,0)),""))</f>
        <v/>
      </c>
    </row>
    <row r="40" customFormat="false" ht="15" hidden="false" customHeight="false" outlineLevel="0" collapsed="false">
      <c r="A40" s="29"/>
      <c r="B40" s="26"/>
      <c r="C40" s="28"/>
      <c r="D40" s="28"/>
      <c r="E40" s="28"/>
      <c r="F40" s="29"/>
      <c r="G40" s="35"/>
      <c r="H40" s="26"/>
      <c r="I40" s="23" t="str">
        <f aca="false">IF(D40="","",IF(F40="Paid","Yes","No"))</f>
        <v/>
      </c>
      <c r="J40" s="52" t="str">
        <f aca="false">IF(D40="","",IFERROR(INDEX('Project Summary'!$J$4:$J$63,MATCH(D40,'Project Summary'!$C$4:$C$63,0)),""))</f>
        <v/>
      </c>
    </row>
    <row r="41" customFormat="false" ht="15" hidden="false" customHeight="false" outlineLevel="0" collapsed="false">
      <c r="A41" s="29"/>
      <c r="B41" s="26"/>
      <c r="C41" s="28"/>
      <c r="D41" s="28"/>
      <c r="E41" s="28"/>
      <c r="F41" s="29"/>
      <c r="G41" s="35"/>
      <c r="H41" s="26"/>
      <c r="I41" s="31" t="str">
        <f aca="false">IF(D41="","",IF(F41="Paid","Yes","No"))</f>
        <v/>
      </c>
      <c r="J41" s="53" t="str">
        <f aca="false">IF(D41="","",IFERROR(INDEX('Project Summary'!$J$4:$J$63,MATCH(D41,'Project Summary'!$C$4:$C$63,0)),""))</f>
        <v/>
      </c>
    </row>
    <row r="42" customFormat="false" ht="15" hidden="false" customHeight="false" outlineLevel="0" collapsed="false">
      <c r="A42" s="29"/>
      <c r="B42" s="26"/>
      <c r="C42" s="28"/>
      <c r="D42" s="28"/>
      <c r="E42" s="28"/>
      <c r="F42" s="29"/>
      <c r="G42" s="35"/>
      <c r="H42" s="26"/>
      <c r="I42" s="23" t="str">
        <f aca="false">IF(D42="","",IF(F42="Paid","Yes","No"))</f>
        <v/>
      </c>
      <c r="J42" s="52" t="str">
        <f aca="false">IF(D42="","",IFERROR(INDEX('Project Summary'!$J$4:$J$63,MATCH(D42,'Project Summary'!$C$4:$C$63,0)),""))</f>
        <v/>
      </c>
    </row>
    <row r="43" customFormat="false" ht="15" hidden="false" customHeight="false" outlineLevel="0" collapsed="false">
      <c r="A43" s="29"/>
      <c r="B43" s="26"/>
      <c r="C43" s="28"/>
      <c r="D43" s="28"/>
      <c r="E43" s="28"/>
      <c r="F43" s="29"/>
      <c r="G43" s="35"/>
      <c r="H43" s="26"/>
      <c r="I43" s="31" t="str">
        <f aca="false">IF(D43="","",IF(F43="Paid","Yes","No"))</f>
        <v/>
      </c>
      <c r="J43" s="53" t="str">
        <f aca="false">IF(D43="","",IFERROR(INDEX('Project Summary'!$J$4:$J$63,MATCH(D43,'Project Summary'!$C$4:$C$63,0)),""))</f>
        <v/>
      </c>
    </row>
    <row r="44" customFormat="false" ht="15" hidden="false" customHeight="false" outlineLevel="0" collapsed="false">
      <c r="A44" s="29"/>
      <c r="B44" s="26"/>
      <c r="C44" s="28"/>
      <c r="D44" s="28"/>
      <c r="E44" s="28"/>
      <c r="F44" s="29"/>
      <c r="G44" s="35"/>
      <c r="H44" s="26"/>
      <c r="I44" s="23" t="str">
        <f aca="false">IF(D44="","",IF(F44="Paid","Yes","No"))</f>
        <v/>
      </c>
      <c r="J44" s="52" t="str">
        <f aca="false">IF(D44="","",IFERROR(INDEX('Project Summary'!$J$4:$J$63,MATCH(D44,'Project Summary'!$C$4:$C$63,0)),""))</f>
        <v/>
      </c>
    </row>
    <row r="45" customFormat="false" ht="15" hidden="false" customHeight="false" outlineLevel="0" collapsed="false">
      <c r="A45" s="29"/>
      <c r="B45" s="26"/>
      <c r="C45" s="28"/>
      <c r="D45" s="28"/>
      <c r="E45" s="28"/>
      <c r="F45" s="29"/>
      <c r="G45" s="35"/>
      <c r="H45" s="26"/>
      <c r="I45" s="31" t="str">
        <f aca="false">IF(D45="","",IF(F45="Paid","Yes","No"))</f>
        <v/>
      </c>
      <c r="J45" s="53" t="str">
        <f aca="false">IF(D45="","",IFERROR(INDEX('Project Summary'!$J$4:$J$63,MATCH(D45,'Project Summary'!$C$4:$C$63,0)),""))</f>
        <v/>
      </c>
    </row>
    <row r="46" customFormat="false" ht="15" hidden="false" customHeight="false" outlineLevel="0" collapsed="false">
      <c r="A46" s="29"/>
      <c r="B46" s="26"/>
      <c r="C46" s="28"/>
      <c r="D46" s="28"/>
      <c r="E46" s="28"/>
      <c r="F46" s="29"/>
      <c r="G46" s="35"/>
      <c r="H46" s="26"/>
      <c r="I46" s="23" t="str">
        <f aca="false">IF(D46="","",IF(F46="Paid","Yes","No"))</f>
        <v/>
      </c>
      <c r="J46" s="52" t="str">
        <f aca="false">IF(D46="","",IFERROR(INDEX('Project Summary'!$J$4:$J$63,MATCH(D46,'Project Summary'!$C$4:$C$63,0)),""))</f>
        <v/>
      </c>
    </row>
    <row r="47" customFormat="false" ht="15" hidden="false" customHeight="false" outlineLevel="0" collapsed="false">
      <c r="A47" s="29"/>
      <c r="B47" s="26"/>
      <c r="C47" s="28"/>
      <c r="D47" s="28"/>
      <c r="E47" s="28"/>
      <c r="F47" s="29"/>
      <c r="G47" s="35"/>
      <c r="H47" s="26"/>
      <c r="I47" s="31" t="str">
        <f aca="false">IF(D47="","",IF(F47="Paid","Yes","No"))</f>
        <v/>
      </c>
      <c r="J47" s="53" t="str">
        <f aca="false">IF(D47="","",IFERROR(INDEX('Project Summary'!$J$4:$J$63,MATCH(D47,'Project Summary'!$C$4:$C$63,0)),""))</f>
        <v/>
      </c>
    </row>
    <row r="48" customFormat="false" ht="15" hidden="false" customHeight="false" outlineLevel="0" collapsed="false">
      <c r="A48" s="29"/>
      <c r="B48" s="26"/>
      <c r="C48" s="28"/>
      <c r="D48" s="28"/>
      <c r="E48" s="28"/>
      <c r="F48" s="29"/>
      <c r="G48" s="35"/>
      <c r="H48" s="26"/>
      <c r="I48" s="23" t="str">
        <f aca="false">IF(D48="","",IF(F48="Paid","Yes","No"))</f>
        <v/>
      </c>
      <c r="J48" s="52" t="str">
        <f aca="false">IF(D48="","",IFERROR(INDEX('Project Summary'!$J$4:$J$63,MATCH(D48,'Project Summary'!$C$4:$C$63,0)),""))</f>
        <v/>
      </c>
    </row>
    <row r="49" customFormat="false" ht="15" hidden="false" customHeight="false" outlineLevel="0" collapsed="false">
      <c r="A49" s="29"/>
      <c r="B49" s="26"/>
      <c r="C49" s="28"/>
      <c r="D49" s="28"/>
      <c r="E49" s="28"/>
      <c r="F49" s="29"/>
      <c r="G49" s="35"/>
      <c r="H49" s="26"/>
      <c r="I49" s="31" t="str">
        <f aca="false">IF(D49="","",IF(F49="Paid","Yes","No"))</f>
        <v/>
      </c>
      <c r="J49" s="53" t="str">
        <f aca="false">IF(D49="","",IFERROR(INDEX('Project Summary'!$J$4:$J$63,MATCH(D49,'Project Summary'!$C$4:$C$63,0)),""))</f>
        <v/>
      </c>
    </row>
    <row r="50" customFormat="false" ht="15" hidden="false" customHeight="false" outlineLevel="0" collapsed="false">
      <c r="A50" s="29"/>
      <c r="B50" s="26"/>
      <c r="C50" s="28"/>
      <c r="D50" s="28"/>
      <c r="E50" s="28"/>
      <c r="F50" s="29"/>
      <c r="G50" s="35"/>
      <c r="H50" s="26"/>
      <c r="I50" s="23" t="str">
        <f aca="false">IF(D50="","",IF(F50="Paid","Yes","No"))</f>
        <v/>
      </c>
      <c r="J50" s="52" t="str">
        <f aca="false">IF(D50="","",IFERROR(INDEX('Project Summary'!$J$4:$J$63,MATCH(D50,'Project Summary'!$C$4:$C$63,0)),""))</f>
        <v/>
      </c>
    </row>
    <row r="51" customFormat="false" ht="15" hidden="false" customHeight="false" outlineLevel="0" collapsed="false">
      <c r="A51" s="29"/>
      <c r="B51" s="26"/>
      <c r="C51" s="28"/>
      <c r="D51" s="28"/>
      <c r="E51" s="28"/>
      <c r="F51" s="29"/>
      <c r="G51" s="35"/>
      <c r="H51" s="26"/>
      <c r="I51" s="31" t="str">
        <f aca="false">IF(D51="","",IF(F51="Paid","Yes","No"))</f>
        <v/>
      </c>
      <c r="J51" s="53" t="str">
        <f aca="false">IF(D51="","",IFERROR(INDEX('Project Summary'!$J$4:$J$63,MATCH(D51,'Project Summary'!$C$4:$C$63,0)),""))</f>
        <v/>
      </c>
    </row>
    <row r="52" customFormat="false" ht="15" hidden="false" customHeight="false" outlineLevel="0" collapsed="false">
      <c r="A52" s="29"/>
      <c r="B52" s="26"/>
      <c r="C52" s="28"/>
      <c r="D52" s="28"/>
      <c r="E52" s="28"/>
      <c r="F52" s="29"/>
      <c r="G52" s="35"/>
      <c r="H52" s="26"/>
      <c r="I52" s="23" t="str">
        <f aca="false">IF(D52="","",IF(F52="Paid","Yes","No"))</f>
        <v/>
      </c>
      <c r="J52" s="52" t="str">
        <f aca="false">IF(D52="","",IFERROR(INDEX('Project Summary'!$J$4:$J$63,MATCH(D52,'Project Summary'!$C$4:$C$63,0)),""))</f>
        <v/>
      </c>
    </row>
    <row r="53" customFormat="false" ht="15" hidden="false" customHeight="false" outlineLevel="0" collapsed="false">
      <c r="A53" s="29"/>
      <c r="B53" s="26"/>
      <c r="C53" s="28"/>
      <c r="D53" s="28"/>
      <c r="E53" s="28"/>
      <c r="F53" s="29"/>
      <c r="G53" s="35"/>
      <c r="H53" s="26"/>
      <c r="I53" s="31" t="str">
        <f aca="false">IF(D53="","",IF(F53="Paid","Yes","No"))</f>
        <v/>
      </c>
      <c r="J53" s="53" t="str">
        <f aca="false">IF(D53="","",IFERROR(INDEX('Project Summary'!$J$4:$J$63,MATCH(D53,'Project Summary'!$C$4:$C$63,0)),""))</f>
        <v/>
      </c>
    </row>
    <row r="54" customFormat="false" ht="15" hidden="false" customHeight="false" outlineLevel="0" collapsed="false">
      <c r="A54" s="29"/>
      <c r="B54" s="26"/>
      <c r="C54" s="28"/>
      <c r="D54" s="28"/>
      <c r="E54" s="28"/>
      <c r="F54" s="29"/>
      <c r="G54" s="35"/>
      <c r="H54" s="26"/>
      <c r="I54" s="23" t="str">
        <f aca="false">IF(D54="","",IF(F54="Paid","Yes","No"))</f>
        <v/>
      </c>
      <c r="J54" s="52" t="str">
        <f aca="false">IF(D54="","",IFERROR(INDEX('Project Summary'!$J$4:$J$63,MATCH(D54,'Project Summary'!$C$4:$C$63,0)),""))</f>
        <v/>
      </c>
    </row>
    <row r="55" customFormat="false" ht="15" hidden="false" customHeight="false" outlineLevel="0" collapsed="false">
      <c r="A55" s="29"/>
      <c r="B55" s="26"/>
      <c r="C55" s="28"/>
      <c r="D55" s="28"/>
      <c r="E55" s="28"/>
      <c r="F55" s="29"/>
      <c r="G55" s="35"/>
      <c r="H55" s="26"/>
      <c r="I55" s="31" t="str">
        <f aca="false">IF(D55="","",IF(F55="Paid","Yes","No"))</f>
        <v/>
      </c>
      <c r="J55" s="53" t="str">
        <f aca="false">IF(D55="","",IFERROR(INDEX('Project Summary'!$J$4:$J$63,MATCH(D55,'Project Summary'!$C$4:$C$63,0)),""))</f>
        <v/>
      </c>
    </row>
    <row r="56" customFormat="false" ht="15" hidden="false" customHeight="false" outlineLevel="0" collapsed="false">
      <c r="A56" s="29"/>
      <c r="B56" s="26"/>
      <c r="C56" s="28"/>
      <c r="D56" s="28"/>
      <c r="E56" s="28"/>
      <c r="F56" s="29"/>
      <c r="G56" s="35"/>
      <c r="H56" s="26"/>
      <c r="I56" s="23" t="str">
        <f aca="false">IF(D56="","",IF(F56="Paid","Yes","No"))</f>
        <v/>
      </c>
      <c r="J56" s="52" t="str">
        <f aca="false">IF(D56="","",IFERROR(INDEX('Project Summary'!$J$4:$J$63,MATCH(D56,'Project Summary'!$C$4:$C$63,0)),""))</f>
        <v/>
      </c>
    </row>
    <row r="57" customFormat="false" ht="15" hidden="false" customHeight="false" outlineLevel="0" collapsed="false">
      <c r="A57" s="29"/>
      <c r="B57" s="26"/>
      <c r="C57" s="28"/>
      <c r="D57" s="28"/>
      <c r="E57" s="28"/>
      <c r="F57" s="29"/>
      <c r="G57" s="35"/>
      <c r="H57" s="26"/>
      <c r="I57" s="31" t="str">
        <f aca="false">IF(D57="","",IF(F57="Paid","Yes","No"))</f>
        <v/>
      </c>
      <c r="J57" s="53" t="str">
        <f aca="false">IF(D57="","",IFERROR(INDEX('Project Summary'!$J$4:$J$63,MATCH(D57,'Project Summary'!$C$4:$C$63,0)),""))</f>
        <v/>
      </c>
    </row>
    <row r="58" customFormat="false" ht="15" hidden="false" customHeight="false" outlineLevel="0" collapsed="false">
      <c r="A58" s="29"/>
      <c r="B58" s="26"/>
      <c r="C58" s="28"/>
      <c r="D58" s="28"/>
      <c r="E58" s="28"/>
      <c r="F58" s="29"/>
      <c r="G58" s="35"/>
      <c r="H58" s="26"/>
      <c r="I58" s="23" t="str">
        <f aca="false">IF(D58="","",IF(F58="Paid","Yes","No"))</f>
        <v/>
      </c>
      <c r="J58" s="52" t="str">
        <f aca="false">IF(D58="","",IFERROR(INDEX('Project Summary'!$J$4:$J$63,MATCH(D58,'Project Summary'!$C$4:$C$63,0)),""))</f>
        <v/>
      </c>
    </row>
    <row r="59" customFormat="false" ht="15" hidden="false" customHeight="false" outlineLevel="0" collapsed="false">
      <c r="A59" s="29"/>
      <c r="B59" s="26"/>
      <c r="C59" s="28"/>
      <c r="D59" s="28"/>
      <c r="E59" s="28"/>
      <c r="F59" s="29"/>
      <c r="G59" s="35"/>
      <c r="H59" s="26"/>
      <c r="I59" s="31" t="str">
        <f aca="false">IF(D59="","",IF(F59="Paid","Yes","No"))</f>
        <v/>
      </c>
      <c r="J59" s="53" t="str">
        <f aca="false">IF(D59="","",IFERROR(INDEX('Project Summary'!$J$4:$J$63,MATCH(D59,'Project Summary'!$C$4:$C$63,0)),""))</f>
        <v/>
      </c>
    </row>
    <row r="60" customFormat="false" ht="15" hidden="false" customHeight="false" outlineLevel="0" collapsed="false">
      <c r="A60" s="29"/>
      <c r="B60" s="26"/>
      <c r="C60" s="28"/>
      <c r="D60" s="28"/>
      <c r="E60" s="28"/>
      <c r="F60" s="29"/>
      <c r="G60" s="35"/>
      <c r="H60" s="26"/>
      <c r="I60" s="23" t="str">
        <f aca="false">IF(D60="","",IF(F60="Paid","Yes","No"))</f>
        <v/>
      </c>
      <c r="J60" s="52" t="str">
        <f aca="false">IF(D60="","",IFERROR(INDEX('Project Summary'!$J$4:$J$63,MATCH(D60,'Project Summary'!$C$4:$C$63,0)),""))</f>
        <v/>
      </c>
    </row>
    <row r="61" customFormat="false" ht="15" hidden="false" customHeight="false" outlineLevel="0" collapsed="false">
      <c r="A61" s="29"/>
      <c r="B61" s="26"/>
      <c r="C61" s="28"/>
      <c r="D61" s="28"/>
      <c r="E61" s="28"/>
      <c r="F61" s="29"/>
      <c r="G61" s="35"/>
      <c r="H61" s="26"/>
      <c r="I61" s="31" t="str">
        <f aca="false">IF(D61="","",IF(F61="Paid","Yes","No"))</f>
        <v/>
      </c>
      <c r="J61" s="53" t="str">
        <f aca="false">IF(D61="","",IFERROR(INDEX('Project Summary'!$J$4:$J$63,MATCH(D61,'Project Summary'!$C$4:$C$63,0)),""))</f>
        <v/>
      </c>
    </row>
    <row r="62" customFormat="false" ht="15" hidden="false" customHeight="false" outlineLevel="0" collapsed="false">
      <c r="A62" s="29"/>
      <c r="B62" s="26"/>
      <c r="C62" s="28"/>
      <c r="D62" s="28"/>
      <c r="E62" s="28"/>
      <c r="F62" s="29"/>
      <c r="G62" s="35"/>
      <c r="H62" s="26"/>
      <c r="I62" s="23" t="str">
        <f aca="false">IF(D62="","",IF(F62="Paid","Yes","No"))</f>
        <v/>
      </c>
      <c r="J62" s="52" t="str">
        <f aca="false">IF(D62="","",IFERROR(INDEX('Project Summary'!$J$4:$J$63,MATCH(D62,'Project Summary'!$C$4:$C$63,0)),""))</f>
        <v/>
      </c>
    </row>
    <row r="63" customFormat="false" ht="15" hidden="false" customHeight="false" outlineLevel="0" collapsed="false">
      <c r="A63" s="29"/>
      <c r="B63" s="26"/>
      <c r="C63" s="28"/>
      <c r="D63" s="28"/>
      <c r="E63" s="28"/>
      <c r="F63" s="29"/>
      <c r="G63" s="35"/>
      <c r="H63" s="26"/>
      <c r="I63" s="31" t="str">
        <f aca="false">IF(D63="","",IF(F63="Paid","Yes","No"))</f>
        <v/>
      </c>
      <c r="J63" s="53" t="str">
        <f aca="false">IF(D63="","",IFERROR(INDEX('Project Summary'!$J$4:$J$63,MATCH(D63,'Project Summary'!$C$4:$C$63,0)),""))</f>
        <v/>
      </c>
    </row>
    <row r="64" customFormat="false" ht="15" hidden="false" customHeight="false" outlineLevel="0" collapsed="false">
      <c r="A64" s="29"/>
      <c r="B64" s="26"/>
      <c r="C64" s="28"/>
      <c r="D64" s="28"/>
      <c r="E64" s="28"/>
      <c r="F64" s="29"/>
      <c r="G64" s="35"/>
      <c r="H64" s="26"/>
      <c r="I64" s="23" t="str">
        <f aca="false">IF(D64="","",IF(F64="Paid","Yes","No"))</f>
        <v/>
      </c>
      <c r="J64" s="52" t="str">
        <f aca="false">IF(D64="","",IFERROR(INDEX('Project Summary'!$J$4:$J$63,MATCH(D64,'Project Summary'!$C$4:$C$63,0)),""))</f>
        <v/>
      </c>
    </row>
    <row r="65" customFormat="false" ht="15" hidden="false" customHeight="false" outlineLevel="0" collapsed="false">
      <c r="A65" s="29"/>
      <c r="B65" s="26"/>
      <c r="C65" s="28"/>
      <c r="D65" s="28"/>
      <c r="E65" s="28"/>
      <c r="F65" s="29"/>
      <c r="G65" s="35"/>
      <c r="H65" s="26"/>
      <c r="I65" s="31" t="str">
        <f aca="false">IF(D65="","",IF(F65="Paid","Yes","No"))</f>
        <v/>
      </c>
      <c r="J65" s="53" t="str">
        <f aca="false">IF(D65="","",IFERROR(INDEX('Project Summary'!$J$4:$J$63,MATCH(D65,'Project Summary'!$C$4:$C$63,0)),""))</f>
        <v/>
      </c>
    </row>
    <row r="66" customFormat="false" ht="15" hidden="false" customHeight="false" outlineLevel="0" collapsed="false">
      <c r="A66" s="29"/>
      <c r="B66" s="26"/>
      <c r="C66" s="28"/>
      <c r="D66" s="28"/>
      <c r="E66" s="28"/>
      <c r="F66" s="29"/>
      <c r="G66" s="35"/>
      <c r="H66" s="26"/>
      <c r="I66" s="23" t="str">
        <f aca="false">IF(D66="","",IF(F66="Paid","Yes","No"))</f>
        <v/>
      </c>
      <c r="J66" s="52" t="str">
        <f aca="false">IF(D66="","",IFERROR(INDEX('Project Summary'!$J$4:$J$63,MATCH(D66,'Project Summary'!$C$4:$C$63,0)),""))</f>
        <v/>
      </c>
    </row>
    <row r="67" customFormat="false" ht="15" hidden="false" customHeight="false" outlineLevel="0" collapsed="false">
      <c r="A67" s="29"/>
      <c r="B67" s="26"/>
      <c r="C67" s="28"/>
      <c r="D67" s="28"/>
      <c r="E67" s="28"/>
      <c r="F67" s="29"/>
      <c r="G67" s="35"/>
      <c r="H67" s="26"/>
      <c r="I67" s="31" t="str">
        <f aca="false">IF(D67="","",IF(F67="Paid","Yes","No"))</f>
        <v/>
      </c>
      <c r="J67" s="53" t="str">
        <f aca="false">IF(D67="","",IFERROR(INDEX('Project Summary'!$J$4:$J$63,MATCH(D67,'Project Summary'!$C$4:$C$63,0)),""))</f>
        <v/>
      </c>
    </row>
    <row r="68" customFormat="false" ht="15" hidden="false" customHeight="false" outlineLevel="0" collapsed="false">
      <c r="A68" s="29"/>
      <c r="B68" s="26"/>
      <c r="C68" s="28"/>
      <c r="D68" s="28"/>
      <c r="E68" s="28"/>
      <c r="F68" s="29"/>
      <c r="G68" s="35"/>
      <c r="H68" s="26"/>
      <c r="I68" s="23" t="str">
        <f aca="false">IF(D68="","",IF(F68="Paid","Yes","No"))</f>
        <v/>
      </c>
      <c r="J68" s="52" t="str">
        <f aca="false">IF(D68="","",IFERROR(INDEX('Project Summary'!$J$4:$J$63,MATCH(D68,'Project Summary'!$C$4:$C$63,0)),""))</f>
        <v/>
      </c>
    </row>
    <row r="69" customFormat="false" ht="15" hidden="false" customHeight="false" outlineLevel="0" collapsed="false">
      <c r="A69" s="29"/>
      <c r="B69" s="26"/>
      <c r="C69" s="28"/>
      <c r="D69" s="28"/>
      <c r="E69" s="28"/>
      <c r="F69" s="29"/>
      <c r="G69" s="35"/>
      <c r="H69" s="26"/>
      <c r="I69" s="31" t="str">
        <f aca="false">IF(D69="","",IF(F69="Paid","Yes","No"))</f>
        <v/>
      </c>
      <c r="J69" s="53" t="str">
        <f aca="false">IF(D69="","",IFERROR(INDEX('Project Summary'!$J$4:$J$63,MATCH(D69,'Project Summary'!$C$4:$C$63,0)),""))</f>
        <v/>
      </c>
    </row>
    <row r="70" customFormat="false" ht="15" hidden="false" customHeight="false" outlineLevel="0" collapsed="false">
      <c r="A70" s="29"/>
      <c r="B70" s="26"/>
      <c r="C70" s="28"/>
      <c r="D70" s="28"/>
      <c r="E70" s="28"/>
      <c r="F70" s="29"/>
      <c r="G70" s="35"/>
      <c r="H70" s="26"/>
      <c r="I70" s="23" t="str">
        <f aca="false">IF(D70="","",IF(F70="Paid","Yes","No"))</f>
        <v/>
      </c>
      <c r="J70" s="52" t="str">
        <f aca="false">IF(D70="","",IFERROR(INDEX('Project Summary'!$J$4:$J$63,MATCH(D70,'Project Summary'!$C$4:$C$63,0)),""))</f>
        <v/>
      </c>
    </row>
    <row r="71" customFormat="false" ht="15" hidden="false" customHeight="false" outlineLevel="0" collapsed="false">
      <c r="A71" s="29"/>
      <c r="B71" s="26"/>
      <c r="C71" s="28"/>
      <c r="D71" s="28"/>
      <c r="E71" s="28"/>
      <c r="F71" s="29"/>
      <c r="G71" s="35"/>
      <c r="H71" s="26"/>
      <c r="I71" s="31" t="str">
        <f aca="false">IF(D71="","",IF(F71="Paid","Yes","No"))</f>
        <v/>
      </c>
      <c r="J71" s="53" t="str">
        <f aca="false">IF(D71="","",IFERROR(INDEX('Project Summary'!$J$4:$J$63,MATCH(D71,'Project Summary'!$C$4:$C$63,0)),""))</f>
        <v/>
      </c>
    </row>
    <row r="72" customFormat="false" ht="15" hidden="false" customHeight="false" outlineLevel="0" collapsed="false">
      <c r="A72" s="29"/>
      <c r="B72" s="26"/>
      <c r="C72" s="28"/>
      <c r="D72" s="28"/>
      <c r="E72" s="28"/>
      <c r="F72" s="29"/>
      <c r="G72" s="35"/>
      <c r="H72" s="26"/>
      <c r="I72" s="23" t="str">
        <f aca="false">IF(D72="","",IF(F72="Paid","Yes","No"))</f>
        <v/>
      </c>
      <c r="J72" s="52" t="str">
        <f aca="false">IF(D72="","",IFERROR(INDEX('Project Summary'!$J$4:$J$63,MATCH(D72,'Project Summary'!$C$4:$C$63,0)),""))</f>
        <v/>
      </c>
    </row>
    <row r="73" customFormat="false" ht="15" hidden="false" customHeight="false" outlineLevel="0" collapsed="false">
      <c r="A73" s="29"/>
      <c r="B73" s="26"/>
      <c r="C73" s="28"/>
      <c r="D73" s="28"/>
      <c r="E73" s="28"/>
      <c r="F73" s="29"/>
      <c r="G73" s="35"/>
      <c r="H73" s="26"/>
      <c r="I73" s="31" t="str">
        <f aca="false">IF(D73="","",IF(F73="Paid","Yes","No"))</f>
        <v/>
      </c>
      <c r="J73" s="53" t="str">
        <f aca="false">IF(D73="","",IFERROR(INDEX('Project Summary'!$J$4:$J$63,MATCH(D73,'Project Summary'!$C$4:$C$63,0)),""))</f>
        <v/>
      </c>
    </row>
    <row r="74" customFormat="false" ht="15" hidden="false" customHeight="false" outlineLevel="0" collapsed="false">
      <c r="A74" s="29"/>
      <c r="B74" s="26"/>
      <c r="C74" s="28"/>
      <c r="D74" s="28"/>
      <c r="E74" s="28"/>
      <c r="F74" s="29"/>
      <c r="G74" s="35"/>
      <c r="H74" s="26"/>
      <c r="I74" s="23" t="str">
        <f aca="false">IF(D74="","",IF(F74="Paid","Yes","No"))</f>
        <v/>
      </c>
      <c r="J74" s="52" t="str">
        <f aca="false">IF(D74="","",IFERROR(INDEX('Project Summary'!$J$4:$J$63,MATCH(D74,'Project Summary'!$C$4:$C$63,0)),""))</f>
        <v/>
      </c>
    </row>
    <row r="75" customFormat="false" ht="15" hidden="false" customHeight="false" outlineLevel="0" collapsed="false">
      <c r="A75" s="29"/>
      <c r="B75" s="26"/>
      <c r="C75" s="28"/>
      <c r="D75" s="28"/>
      <c r="E75" s="28"/>
      <c r="F75" s="29"/>
      <c r="G75" s="35"/>
      <c r="H75" s="26"/>
      <c r="I75" s="31" t="str">
        <f aca="false">IF(D75="","",IF(F75="Paid","Yes","No"))</f>
        <v/>
      </c>
      <c r="J75" s="53" t="str">
        <f aca="false">IF(D75="","",IFERROR(INDEX('Project Summary'!$J$4:$J$63,MATCH(D75,'Project Summary'!$C$4:$C$63,0)),""))</f>
        <v/>
      </c>
    </row>
    <row r="76" customFormat="false" ht="15" hidden="false" customHeight="false" outlineLevel="0" collapsed="false">
      <c r="A76" s="29"/>
      <c r="B76" s="26"/>
      <c r="C76" s="28"/>
      <c r="D76" s="28"/>
      <c r="E76" s="28"/>
      <c r="F76" s="29"/>
      <c r="G76" s="35"/>
      <c r="H76" s="26"/>
      <c r="I76" s="23" t="str">
        <f aca="false">IF(D76="","",IF(F76="Paid","Yes","No"))</f>
        <v/>
      </c>
      <c r="J76" s="52" t="str">
        <f aca="false">IF(D76="","",IFERROR(INDEX('Project Summary'!$J$4:$J$63,MATCH(D76,'Project Summary'!$C$4:$C$63,0)),""))</f>
        <v/>
      </c>
    </row>
    <row r="77" customFormat="false" ht="15" hidden="false" customHeight="false" outlineLevel="0" collapsed="false">
      <c r="A77" s="29"/>
      <c r="B77" s="26"/>
      <c r="C77" s="28"/>
      <c r="D77" s="28"/>
      <c r="E77" s="28"/>
      <c r="F77" s="29"/>
      <c r="G77" s="35"/>
      <c r="H77" s="26"/>
      <c r="I77" s="31" t="str">
        <f aca="false">IF(D77="","",IF(F77="Paid","Yes","No"))</f>
        <v/>
      </c>
      <c r="J77" s="53" t="str">
        <f aca="false">IF(D77="","",IFERROR(INDEX('Project Summary'!$J$4:$J$63,MATCH(D77,'Project Summary'!$C$4:$C$63,0)),""))</f>
        <v/>
      </c>
    </row>
    <row r="78" customFormat="false" ht="15" hidden="false" customHeight="false" outlineLevel="0" collapsed="false">
      <c r="A78" s="29"/>
      <c r="B78" s="26"/>
      <c r="C78" s="28"/>
      <c r="D78" s="28"/>
      <c r="E78" s="28"/>
      <c r="F78" s="29"/>
      <c r="G78" s="35"/>
      <c r="H78" s="26"/>
      <c r="I78" s="23" t="str">
        <f aca="false">IF(D78="","",IF(F78="Paid","Yes","No"))</f>
        <v/>
      </c>
      <c r="J78" s="52" t="str">
        <f aca="false">IF(D78="","",IFERROR(INDEX('Project Summary'!$J$4:$J$63,MATCH(D78,'Project Summary'!$C$4:$C$63,0)),""))</f>
        <v/>
      </c>
    </row>
    <row r="79" customFormat="false" ht="15" hidden="false" customHeight="false" outlineLevel="0" collapsed="false">
      <c r="A79" s="29"/>
      <c r="B79" s="26"/>
      <c r="C79" s="28"/>
      <c r="D79" s="28"/>
      <c r="E79" s="28"/>
      <c r="F79" s="29"/>
      <c r="G79" s="35"/>
      <c r="H79" s="26"/>
      <c r="I79" s="31" t="str">
        <f aca="false">IF(D79="","",IF(F79="Paid","Yes","No"))</f>
        <v/>
      </c>
      <c r="J79" s="53" t="str">
        <f aca="false">IF(D79="","",IFERROR(INDEX('Project Summary'!$J$4:$J$63,MATCH(D79,'Project Summary'!$C$4:$C$63,0)),""))</f>
        <v/>
      </c>
    </row>
    <row r="80" customFormat="false" ht="15" hidden="false" customHeight="false" outlineLevel="0" collapsed="false">
      <c r="A80" s="29"/>
      <c r="B80" s="26"/>
      <c r="C80" s="28"/>
      <c r="D80" s="28"/>
      <c r="E80" s="28"/>
      <c r="F80" s="29"/>
      <c r="G80" s="35"/>
      <c r="H80" s="26"/>
      <c r="I80" s="23" t="str">
        <f aca="false">IF(D80="","",IF(F80="Paid","Yes","No"))</f>
        <v/>
      </c>
      <c r="J80" s="52" t="str">
        <f aca="false">IF(D80="","",IFERROR(INDEX('Project Summary'!$J$4:$J$63,MATCH(D80,'Project Summary'!$C$4:$C$63,0)),""))</f>
        <v/>
      </c>
    </row>
    <row r="81" customFormat="false" ht="15" hidden="false" customHeight="false" outlineLevel="0" collapsed="false">
      <c r="A81" s="29"/>
      <c r="B81" s="26"/>
      <c r="C81" s="28"/>
      <c r="D81" s="28"/>
      <c r="E81" s="28"/>
      <c r="F81" s="29"/>
      <c r="G81" s="35"/>
      <c r="H81" s="26"/>
      <c r="I81" s="31" t="str">
        <f aca="false">IF(D81="","",IF(F81="Paid","Yes","No"))</f>
        <v/>
      </c>
      <c r="J81" s="53" t="str">
        <f aca="false">IF(D81="","",IFERROR(INDEX('Project Summary'!$J$4:$J$63,MATCH(D81,'Project Summary'!$C$4:$C$63,0)),""))</f>
        <v/>
      </c>
    </row>
    <row r="82" customFormat="false" ht="15" hidden="false" customHeight="false" outlineLevel="0" collapsed="false">
      <c r="A82" s="29"/>
      <c r="B82" s="26"/>
      <c r="C82" s="28"/>
      <c r="D82" s="28"/>
      <c r="E82" s="28"/>
      <c r="F82" s="29"/>
      <c r="G82" s="35"/>
      <c r="H82" s="26"/>
      <c r="I82" s="23" t="str">
        <f aca="false">IF(D82="","",IF(F82="Paid","Yes","No"))</f>
        <v/>
      </c>
      <c r="J82" s="52" t="str">
        <f aca="false">IF(D82="","",IFERROR(INDEX('Project Summary'!$J$4:$J$63,MATCH(D82,'Project Summary'!$C$4:$C$63,0)),""))</f>
        <v/>
      </c>
    </row>
    <row r="83" customFormat="false" ht="15" hidden="false" customHeight="false" outlineLevel="0" collapsed="false">
      <c r="A83" s="29"/>
      <c r="B83" s="26"/>
      <c r="C83" s="28"/>
      <c r="D83" s="28"/>
      <c r="E83" s="28"/>
      <c r="F83" s="29"/>
      <c r="G83" s="35"/>
      <c r="H83" s="26"/>
      <c r="I83" s="31" t="str">
        <f aca="false">IF(D83="","",IF(F83="Paid","Yes","No"))</f>
        <v/>
      </c>
      <c r="J83" s="53" t="str">
        <f aca="false">IF(D83="","",IFERROR(INDEX('Project Summary'!$J$4:$J$63,MATCH(D83,'Project Summary'!$C$4:$C$63,0)),""))</f>
        <v/>
      </c>
    </row>
    <row r="84" customFormat="false" ht="15" hidden="false" customHeight="false" outlineLevel="0" collapsed="false">
      <c r="A84" s="29"/>
      <c r="B84" s="26"/>
      <c r="C84" s="28"/>
      <c r="D84" s="28"/>
      <c r="E84" s="28"/>
      <c r="F84" s="29"/>
      <c r="G84" s="35"/>
      <c r="H84" s="26"/>
      <c r="I84" s="23" t="str">
        <f aca="false">IF(D84="","",IF(F84="Paid","Yes","No"))</f>
        <v/>
      </c>
      <c r="J84" s="52" t="str">
        <f aca="false">IF(D84="","",IFERROR(INDEX('Project Summary'!$J$4:$J$63,MATCH(D84,'Project Summary'!$C$4:$C$63,0)),""))</f>
        <v/>
      </c>
    </row>
    <row r="85" customFormat="false" ht="15" hidden="false" customHeight="false" outlineLevel="0" collapsed="false">
      <c r="A85" s="29"/>
      <c r="B85" s="26"/>
      <c r="C85" s="28"/>
      <c r="D85" s="28"/>
      <c r="E85" s="28"/>
      <c r="F85" s="29"/>
      <c r="G85" s="35"/>
      <c r="H85" s="26"/>
      <c r="I85" s="31" t="str">
        <f aca="false">IF(D85="","",IF(F85="Paid","Yes","No"))</f>
        <v/>
      </c>
      <c r="J85" s="53" t="str">
        <f aca="false">IF(D85="","",IFERROR(INDEX('Project Summary'!$J$4:$J$63,MATCH(D85,'Project Summary'!$C$4:$C$63,0)),""))</f>
        <v/>
      </c>
    </row>
    <row r="86" customFormat="false" ht="15" hidden="false" customHeight="false" outlineLevel="0" collapsed="false">
      <c r="A86" s="29"/>
      <c r="B86" s="26"/>
      <c r="C86" s="28"/>
      <c r="D86" s="28"/>
      <c r="E86" s="28"/>
      <c r="F86" s="29"/>
      <c r="G86" s="35"/>
      <c r="H86" s="26"/>
      <c r="I86" s="23" t="str">
        <f aca="false">IF(D86="","",IF(F86="Paid","Yes","No"))</f>
        <v/>
      </c>
      <c r="J86" s="52" t="str">
        <f aca="false">IF(D86="","",IFERROR(INDEX('Project Summary'!$J$4:$J$63,MATCH(D86,'Project Summary'!$C$4:$C$63,0)),""))</f>
        <v/>
      </c>
    </row>
    <row r="87" customFormat="false" ht="15" hidden="false" customHeight="false" outlineLevel="0" collapsed="false">
      <c r="A87" s="29"/>
      <c r="B87" s="26"/>
      <c r="C87" s="28"/>
      <c r="D87" s="28"/>
      <c r="E87" s="28"/>
      <c r="F87" s="29"/>
      <c r="G87" s="35"/>
      <c r="H87" s="26"/>
      <c r="I87" s="31" t="str">
        <f aca="false">IF(D87="","",IF(F87="Paid","Yes","No"))</f>
        <v/>
      </c>
      <c r="J87" s="53" t="str">
        <f aca="false">IF(D87="","",IFERROR(INDEX('Project Summary'!$J$4:$J$63,MATCH(D87,'Project Summary'!$C$4:$C$63,0)),""))</f>
        <v/>
      </c>
    </row>
    <row r="88" customFormat="false" ht="15" hidden="false" customHeight="false" outlineLevel="0" collapsed="false">
      <c r="A88" s="29"/>
      <c r="B88" s="26"/>
      <c r="C88" s="28"/>
      <c r="D88" s="28"/>
      <c r="E88" s="28"/>
      <c r="F88" s="29"/>
      <c r="G88" s="35"/>
      <c r="H88" s="26"/>
      <c r="I88" s="23" t="str">
        <f aca="false">IF(D88="","",IF(F88="Paid","Yes","No"))</f>
        <v/>
      </c>
      <c r="J88" s="52" t="str">
        <f aca="false">IF(D88="","",IFERROR(INDEX('Project Summary'!$J$4:$J$63,MATCH(D88,'Project Summary'!$C$4:$C$63,0)),""))</f>
        <v/>
      </c>
    </row>
    <row r="89" customFormat="false" ht="15" hidden="false" customHeight="false" outlineLevel="0" collapsed="false">
      <c r="A89" s="29"/>
      <c r="B89" s="26"/>
      <c r="C89" s="28"/>
      <c r="D89" s="28"/>
      <c r="E89" s="28"/>
      <c r="F89" s="29"/>
      <c r="G89" s="35"/>
      <c r="H89" s="26"/>
      <c r="I89" s="31" t="str">
        <f aca="false">IF(D89="","",IF(F89="Paid","Yes","No"))</f>
        <v/>
      </c>
      <c r="J89" s="53" t="str">
        <f aca="false">IF(D89="","",IFERROR(INDEX('Project Summary'!$J$4:$J$63,MATCH(D89,'Project Summary'!$C$4:$C$63,0)),""))</f>
        <v/>
      </c>
    </row>
    <row r="90" customFormat="false" ht="15" hidden="false" customHeight="false" outlineLevel="0" collapsed="false">
      <c r="A90" s="29"/>
      <c r="B90" s="26"/>
      <c r="C90" s="28"/>
      <c r="D90" s="28"/>
      <c r="E90" s="28"/>
      <c r="F90" s="29"/>
      <c r="G90" s="35"/>
      <c r="H90" s="26"/>
      <c r="I90" s="23" t="str">
        <f aca="false">IF(D90="","",IF(F90="Paid","Yes","No"))</f>
        <v/>
      </c>
      <c r="J90" s="52" t="str">
        <f aca="false">IF(D90="","",IFERROR(INDEX('Project Summary'!$J$4:$J$63,MATCH(D90,'Project Summary'!$C$4:$C$63,0)),""))</f>
        <v/>
      </c>
    </row>
    <row r="91" customFormat="false" ht="15" hidden="false" customHeight="false" outlineLevel="0" collapsed="false">
      <c r="A91" s="29"/>
      <c r="B91" s="26"/>
      <c r="C91" s="28"/>
      <c r="D91" s="28"/>
      <c r="E91" s="28"/>
      <c r="F91" s="29"/>
      <c r="G91" s="35"/>
      <c r="H91" s="26"/>
      <c r="I91" s="31" t="str">
        <f aca="false">IF(D91="","",IF(F91="Paid","Yes","No"))</f>
        <v/>
      </c>
      <c r="J91" s="53" t="str">
        <f aca="false">IF(D91="","",IFERROR(INDEX('Project Summary'!$J$4:$J$63,MATCH(D91,'Project Summary'!$C$4:$C$63,0)),""))</f>
        <v/>
      </c>
    </row>
    <row r="92" customFormat="false" ht="15" hidden="false" customHeight="false" outlineLevel="0" collapsed="false">
      <c r="A92" s="29"/>
      <c r="B92" s="26"/>
      <c r="C92" s="28"/>
      <c r="D92" s="28"/>
      <c r="E92" s="28"/>
      <c r="F92" s="29"/>
      <c r="G92" s="35"/>
      <c r="H92" s="26"/>
      <c r="I92" s="23" t="str">
        <f aca="false">IF(D92="","",IF(F92="Paid","Yes","No"))</f>
        <v/>
      </c>
      <c r="J92" s="52" t="str">
        <f aca="false">IF(D92="","",IFERROR(INDEX('Project Summary'!$J$4:$J$63,MATCH(D92,'Project Summary'!$C$4:$C$63,0)),""))</f>
        <v/>
      </c>
    </row>
    <row r="93" customFormat="false" ht="15" hidden="false" customHeight="false" outlineLevel="0" collapsed="false">
      <c r="A93" s="29"/>
      <c r="B93" s="26"/>
      <c r="C93" s="28"/>
      <c r="D93" s="28"/>
      <c r="E93" s="28"/>
      <c r="F93" s="29"/>
      <c r="G93" s="35"/>
      <c r="H93" s="26"/>
      <c r="I93" s="31" t="str">
        <f aca="false">IF(D93="","",IF(F93="Paid","Yes","No"))</f>
        <v/>
      </c>
      <c r="J93" s="53" t="str">
        <f aca="false">IF(D93="","",IFERROR(INDEX('Project Summary'!$J$4:$J$63,MATCH(D93,'Project Summary'!$C$4:$C$63,0)),""))</f>
        <v/>
      </c>
    </row>
    <row r="94" customFormat="false" ht="15" hidden="false" customHeight="false" outlineLevel="0" collapsed="false">
      <c r="A94" s="29"/>
      <c r="B94" s="26"/>
      <c r="C94" s="28"/>
      <c r="D94" s="28"/>
      <c r="E94" s="28"/>
      <c r="F94" s="29"/>
      <c r="G94" s="35"/>
      <c r="H94" s="26"/>
      <c r="I94" s="23" t="str">
        <f aca="false">IF(D94="","",IF(F94="Paid","Yes","No"))</f>
        <v/>
      </c>
      <c r="J94" s="52" t="str">
        <f aca="false">IF(D94="","",IFERROR(INDEX('Project Summary'!$J$4:$J$63,MATCH(D94,'Project Summary'!$C$4:$C$63,0)),""))</f>
        <v/>
      </c>
    </row>
    <row r="95" customFormat="false" ht="15" hidden="false" customHeight="false" outlineLevel="0" collapsed="false">
      <c r="A95" s="29"/>
      <c r="B95" s="26"/>
      <c r="C95" s="28"/>
      <c r="D95" s="28"/>
      <c r="E95" s="28"/>
      <c r="F95" s="29"/>
      <c r="G95" s="35"/>
      <c r="H95" s="26"/>
      <c r="I95" s="31" t="str">
        <f aca="false">IF(D95="","",IF(F95="Paid","Yes","No"))</f>
        <v/>
      </c>
      <c r="J95" s="53" t="str">
        <f aca="false">IF(D95="","",IFERROR(INDEX('Project Summary'!$J$4:$J$63,MATCH(D95,'Project Summary'!$C$4:$C$63,0)),""))</f>
        <v/>
      </c>
    </row>
    <row r="96" customFormat="false" ht="15" hidden="false" customHeight="false" outlineLevel="0" collapsed="false">
      <c r="A96" s="29"/>
      <c r="B96" s="26"/>
      <c r="C96" s="28"/>
      <c r="D96" s="28"/>
      <c r="E96" s="28"/>
      <c r="F96" s="29"/>
      <c r="G96" s="35"/>
      <c r="H96" s="26"/>
      <c r="I96" s="23" t="str">
        <f aca="false">IF(D96="","",IF(F96="Paid","Yes","No"))</f>
        <v/>
      </c>
      <c r="J96" s="52" t="str">
        <f aca="false">IF(D96="","",IFERROR(INDEX('Project Summary'!$J$4:$J$63,MATCH(D96,'Project Summary'!$C$4:$C$63,0)),""))</f>
        <v/>
      </c>
    </row>
    <row r="97" customFormat="false" ht="15" hidden="false" customHeight="false" outlineLevel="0" collapsed="false">
      <c r="A97" s="29"/>
      <c r="B97" s="26"/>
      <c r="C97" s="28"/>
      <c r="D97" s="28"/>
      <c r="E97" s="28"/>
      <c r="F97" s="29"/>
      <c r="G97" s="35"/>
      <c r="H97" s="26"/>
      <c r="I97" s="31" t="str">
        <f aca="false">IF(D97="","",IF(F97="Paid","Yes","No"))</f>
        <v/>
      </c>
      <c r="J97" s="53" t="str">
        <f aca="false">IF(D97="","",IFERROR(INDEX('Project Summary'!$J$4:$J$63,MATCH(D97,'Project Summary'!$C$4:$C$63,0)),""))</f>
        <v/>
      </c>
    </row>
    <row r="98" customFormat="false" ht="15" hidden="false" customHeight="false" outlineLevel="0" collapsed="false">
      <c r="A98" s="29"/>
      <c r="B98" s="26"/>
      <c r="C98" s="28"/>
      <c r="D98" s="28"/>
      <c r="E98" s="28"/>
      <c r="F98" s="29"/>
      <c r="G98" s="35"/>
      <c r="H98" s="26"/>
      <c r="I98" s="23" t="str">
        <f aca="false">IF(D98="","",IF(F98="Paid","Yes","No"))</f>
        <v/>
      </c>
      <c r="J98" s="52" t="str">
        <f aca="false">IF(D98="","",IFERROR(INDEX('Project Summary'!$J$4:$J$63,MATCH(D98,'Project Summary'!$C$4:$C$63,0)),""))</f>
        <v/>
      </c>
    </row>
    <row r="99" customFormat="false" ht="15" hidden="false" customHeight="false" outlineLevel="0" collapsed="false">
      <c r="A99" s="29"/>
      <c r="B99" s="26"/>
      <c r="C99" s="28"/>
      <c r="D99" s="28"/>
      <c r="E99" s="28"/>
      <c r="F99" s="29"/>
      <c r="G99" s="35"/>
      <c r="H99" s="26"/>
      <c r="I99" s="31" t="str">
        <f aca="false">IF(D99="","",IF(F99="Paid","Yes","No"))</f>
        <v/>
      </c>
      <c r="J99" s="53" t="str">
        <f aca="false">IF(D99="","",IFERROR(INDEX('Project Summary'!$J$4:$J$63,MATCH(D99,'Project Summary'!$C$4:$C$63,0)),""))</f>
        <v/>
      </c>
    </row>
    <row r="100" customFormat="false" ht="15" hidden="false" customHeight="false" outlineLevel="0" collapsed="false">
      <c r="A100" s="29"/>
      <c r="B100" s="26"/>
      <c r="C100" s="28"/>
      <c r="D100" s="28"/>
      <c r="E100" s="28"/>
      <c r="F100" s="29"/>
      <c r="G100" s="35"/>
      <c r="H100" s="26"/>
      <c r="I100" s="23" t="str">
        <f aca="false">IF(D100="","",IF(F100="Paid","Yes","No"))</f>
        <v/>
      </c>
      <c r="J100" s="52" t="str">
        <f aca="false">IF(D100="","",IFERROR(INDEX('Project Summary'!$J$4:$J$63,MATCH(D100,'Project Summary'!$C$4:$C$63,0)),""))</f>
        <v/>
      </c>
    </row>
    <row r="101" customFormat="false" ht="15" hidden="false" customHeight="false" outlineLevel="0" collapsed="false">
      <c r="A101" s="29"/>
      <c r="B101" s="26"/>
      <c r="C101" s="28"/>
      <c r="D101" s="28"/>
      <c r="E101" s="28"/>
      <c r="F101" s="29"/>
      <c r="G101" s="35"/>
      <c r="H101" s="26"/>
      <c r="I101" s="31" t="str">
        <f aca="false">IF(D101="","",IF(F101="Paid","Yes","No"))</f>
        <v/>
      </c>
      <c r="J101" s="53" t="str">
        <f aca="false">IF(D101="","",IFERROR(INDEX('Project Summary'!$J$4:$J$63,MATCH(D101,'Project Summary'!$C$4:$C$63,0)),""))</f>
        <v/>
      </c>
    </row>
    <row r="102" customFormat="false" ht="15" hidden="false" customHeight="false" outlineLevel="0" collapsed="false">
      <c r="A102" s="29"/>
      <c r="B102" s="26"/>
      <c r="C102" s="28"/>
      <c r="D102" s="28"/>
      <c r="E102" s="28"/>
      <c r="F102" s="29"/>
      <c r="G102" s="35"/>
      <c r="H102" s="26"/>
      <c r="I102" s="23" t="str">
        <f aca="false">IF(D102="","",IF(F102="Paid","Yes","No"))</f>
        <v/>
      </c>
      <c r="J102" s="52" t="str">
        <f aca="false">IF(D102="","",IFERROR(INDEX('Project Summary'!$J$4:$J$63,MATCH(D102,'Project Summary'!$C$4:$C$63,0)),""))</f>
        <v/>
      </c>
    </row>
    <row r="103" customFormat="false" ht="15" hidden="false" customHeight="false" outlineLevel="0" collapsed="false">
      <c r="A103" s="29"/>
      <c r="B103" s="26"/>
      <c r="C103" s="28"/>
      <c r="D103" s="28"/>
      <c r="E103" s="28"/>
      <c r="F103" s="29"/>
      <c r="G103" s="35"/>
      <c r="H103" s="26"/>
      <c r="I103" s="31" t="str">
        <f aca="false">IF(D103="","",IF(F103="Paid","Yes","No"))</f>
        <v/>
      </c>
      <c r="J103" s="53" t="str">
        <f aca="false">IF(D103="","",IFERROR(INDEX('Project Summary'!$J$4:$J$63,MATCH(D103,'Project Summary'!$C$4:$C$63,0)),""))</f>
        <v/>
      </c>
    </row>
    <row r="104" customFormat="false" ht="15" hidden="false" customHeight="false" outlineLevel="0" collapsed="false">
      <c r="A104" s="29"/>
      <c r="B104" s="26"/>
      <c r="C104" s="28"/>
      <c r="D104" s="28"/>
      <c r="E104" s="28"/>
      <c r="F104" s="29"/>
      <c r="G104" s="35"/>
      <c r="H104" s="26"/>
      <c r="I104" s="23" t="str">
        <f aca="false">IF(D104="","",IF(F104="Paid","Yes","No"))</f>
        <v/>
      </c>
      <c r="J104" s="52" t="str">
        <f aca="false">IF(D104="","",IFERROR(INDEX('Project Summary'!$J$4:$J$63,MATCH(D104,'Project Summary'!$C$4:$C$63,0)),""))</f>
        <v/>
      </c>
    </row>
    <row r="105" customFormat="false" ht="15" hidden="false" customHeight="false" outlineLevel="0" collapsed="false">
      <c r="A105" s="29"/>
      <c r="B105" s="26"/>
      <c r="C105" s="28"/>
      <c r="D105" s="28"/>
      <c r="E105" s="28"/>
      <c r="F105" s="29"/>
      <c r="G105" s="35"/>
      <c r="H105" s="26"/>
      <c r="I105" s="31" t="str">
        <f aca="false">IF(D105="","",IF(F105="Paid","Yes","No"))</f>
        <v/>
      </c>
      <c r="J105" s="53" t="str">
        <f aca="false">IF(D105="","",IFERROR(INDEX('Project Summary'!$J$4:$J$63,MATCH(D105,'Project Summary'!$C$4:$C$63,0)),""))</f>
        <v/>
      </c>
    </row>
    <row r="106" customFormat="false" ht="15" hidden="false" customHeight="false" outlineLevel="0" collapsed="false">
      <c r="A106" s="29"/>
      <c r="B106" s="26"/>
      <c r="C106" s="28"/>
      <c r="D106" s="28"/>
      <c r="E106" s="28"/>
      <c r="F106" s="29"/>
      <c r="G106" s="35"/>
      <c r="H106" s="26"/>
      <c r="I106" s="23" t="str">
        <f aca="false">IF(D106="","",IF(F106="Paid","Yes","No"))</f>
        <v/>
      </c>
      <c r="J106" s="52" t="str">
        <f aca="false">IF(D106="","",IFERROR(INDEX('Project Summary'!$J$4:$J$63,MATCH(D106,'Project Summary'!$C$4:$C$63,0)),""))</f>
        <v/>
      </c>
    </row>
    <row r="107" customFormat="false" ht="15" hidden="false" customHeight="false" outlineLevel="0" collapsed="false">
      <c r="A107" s="29"/>
      <c r="B107" s="26"/>
      <c r="C107" s="28"/>
      <c r="D107" s="28"/>
      <c r="E107" s="28"/>
      <c r="F107" s="29"/>
      <c r="G107" s="35"/>
      <c r="H107" s="26"/>
      <c r="I107" s="31" t="str">
        <f aca="false">IF(D107="","",IF(F107="Paid","Yes","No"))</f>
        <v/>
      </c>
      <c r="J107" s="53" t="str">
        <f aca="false">IF(D107="","",IFERROR(INDEX('Project Summary'!$J$4:$J$63,MATCH(D107,'Project Summary'!$C$4:$C$63,0)),""))</f>
        <v/>
      </c>
    </row>
    <row r="108" customFormat="false" ht="15" hidden="false" customHeight="false" outlineLevel="0" collapsed="false">
      <c r="A108" s="29"/>
      <c r="B108" s="26"/>
      <c r="C108" s="28"/>
      <c r="D108" s="28"/>
      <c r="E108" s="28"/>
      <c r="F108" s="29"/>
      <c r="G108" s="35"/>
      <c r="H108" s="26"/>
      <c r="I108" s="23" t="str">
        <f aca="false">IF(D108="","",IF(F108="Paid","Yes","No"))</f>
        <v/>
      </c>
      <c r="J108" s="52" t="str">
        <f aca="false">IF(D108="","",IFERROR(INDEX('Project Summary'!$J$4:$J$63,MATCH(D108,'Project Summary'!$C$4:$C$63,0)),""))</f>
        <v/>
      </c>
    </row>
    <row r="109" customFormat="false" ht="15" hidden="false" customHeight="false" outlineLevel="0" collapsed="false">
      <c r="A109" s="29"/>
      <c r="B109" s="26"/>
      <c r="C109" s="28"/>
      <c r="D109" s="28"/>
      <c r="E109" s="28"/>
      <c r="F109" s="29"/>
      <c r="G109" s="35"/>
      <c r="H109" s="26"/>
      <c r="I109" s="31" t="str">
        <f aca="false">IF(D109="","",IF(F109="Paid","Yes","No"))</f>
        <v/>
      </c>
      <c r="J109" s="53" t="str">
        <f aca="false">IF(D109="","",IFERROR(INDEX('Project Summary'!$J$4:$J$63,MATCH(D109,'Project Summary'!$C$4:$C$63,0)),""))</f>
        <v/>
      </c>
    </row>
    <row r="110" customFormat="false" ht="15" hidden="false" customHeight="false" outlineLevel="0" collapsed="false">
      <c r="A110" s="29"/>
      <c r="B110" s="26"/>
      <c r="C110" s="28"/>
      <c r="D110" s="28"/>
      <c r="E110" s="28"/>
      <c r="F110" s="29"/>
      <c r="G110" s="35"/>
      <c r="H110" s="26"/>
      <c r="I110" s="23" t="str">
        <f aca="false">IF(D110="","",IF(F110="Paid","Yes","No"))</f>
        <v/>
      </c>
      <c r="J110" s="52" t="str">
        <f aca="false">IF(D110="","",IFERROR(INDEX('Project Summary'!$J$4:$J$63,MATCH(D110,'Project Summary'!$C$4:$C$63,0)),""))</f>
        <v/>
      </c>
    </row>
    <row r="111" customFormat="false" ht="15" hidden="false" customHeight="false" outlineLevel="0" collapsed="false">
      <c r="A111" s="29"/>
      <c r="B111" s="26"/>
      <c r="C111" s="28"/>
      <c r="D111" s="28"/>
      <c r="E111" s="28"/>
      <c r="F111" s="29"/>
      <c r="G111" s="35"/>
      <c r="H111" s="26"/>
      <c r="I111" s="31" t="str">
        <f aca="false">IF(D111="","",IF(F111="Paid","Yes","No"))</f>
        <v/>
      </c>
      <c r="J111" s="53" t="str">
        <f aca="false">IF(D111="","",IFERROR(INDEX('Project Summary'!$J$4:$J$63,MATCH(D111,'Project Summary'!$C$4:$C$63,0)),""))</f>
        <v/>
      </c>
    </row>
    <row r="112" customFormat="false" ht="15" hidden="false" customHeight="false" outlineLevel="0" collapsed="false">
      <c r="A112" s="29"/>
      <c r="B112" s="26"/>
      <c r="C112" s="28"/>
      <c r="D112" s="28"/>
      <c r="E112" s="28"/>
      <c r="F112" s="29"/>
      <c r="G112" s="35"/>
      <c r="H112" s="26"/>
      <c r="I112" s="23" t="str">
        <f aca="false">IF(D112="","",IF(F112="Paid","Yes","No"))</f>
        <v/>
      </c>
      <c r="J112" s="52" t="str">
        <f aca="false">IF(D112="","",IFERROR(INDEX('Project Summary'!$J$4:$J$63,MATCH(D112,'Project Summary'!$C$4:$C$63,0)),""))</f>
        <v/>
      </c>
    </row>
    <row r="113" customFormat="false" ht="15" hidden="false" customHeight="false" outlineLevel="0" collapsed="false">
      <c r="A113" s="29"/>
      <c r="B113" s="26"/>
      <c r="C113" s="28"/>
      <c r="D113" s="28"/>
      <c r="E113" s="28"/>
      <c r="F113" s="29"/>
      <c r="G113" s="35"/>
      <c r="H113" s="26"/>
      <c r="I113" s="31" t="str">
        <f aca="false">IF(D113="","",IF(F113="Paid","Yes","No"))</f>
        <v/>
      </c>
      <c r="J113" s="53" t="str">
        <f aca="false">IF(D113="","",IFERROR(INDEX('Project Summary'!$J$4:$J$63,MATCH(D113,'Project Summary'!$C$4:$C$63,0)),""))</f>
        <v/>
      </c>
    </row>
    <row r="114" customFormat="false" ht="15" hidden="false" customHeight="false" outlineLevel="0" collapsed="false">
      <c r="A114" s="29"/>
      <c r="B114" s="26"/>
      <c r="C114" s="28"/>
      <c r="D114" s="28"/>
      <c r="E114" s="28"/>
      <c r="F114" s="29"/>
      <c r="G114" s="35"/>
      <c r="H114" s="26"/>
      <c r="I114" s="23" t="str">
        <f aca="false">IF(D114="","",IF(F114="Paid","Yes","No"))</f>
        <v/>
      </c>
      <c r="J114" s="52" t="str">
        <f aca="false">IF(D114="","",IFERROR(INDEX('Project Summary'!$J$4:$J$63,MATCH(D114,'Project Summary'!$C$4:$C$63,0)),""))</f>
        <v/>
      </c>
    </row>
    <row r="115" customFormat="false" ht="15" hidden="false" customHeight="false" outlineLevel="0" collapsed="false">
      <c r="A115" s="29"/>
      <c r="B115" s="26"/>
      <c r="C115" s="28"/>
      <c r="D115" s="28"/>
      <c r="E115" s="28"/>
      <c r="F115" s="29"/>
      <c r="G115" s="35"/>
      <c r="H115" s="26"/>
      <c r="I115" s="31" t="str">
        <f aca="false">IF(D115="","",IF(F115="Paid","Yes","No"))</f>
        <v/>
      </c>
      <c r="J115" s="53" t="str">
        <f aca="false">IF(D115="","",IFERROR(INDEX('Project Summary'!$J$4:$J$63,MATCH(D115,'Project Summary'!$C$4:$C$63,0)),""))</f>
        <v/>
      </c>
    </row>
    <row r="116" customFormat="false" ht="15" hidden="false" customHeight="false" outlineLevel="0" collapsed="false">
      <c r="A116" s="29"/>
      <c r="B116" s="26"/>
      <c r="C116" s="28"/>
      <c r="D116" s="28"/>
      <c r="E116" s="28"/>
      <c r="F116" s="29"/>
      <c r="G116" s="35"/>
      <c r="H116" s="26"/>
      <c r="I116" s="23" t="str">
        <f aca="false">IF(D116="","",IF(F116="Paid","Yes","No"))</f>
        <v/>
      </c>
      <c r="J116" s="52" t="str">
        <f aca="false">IF(D116="","",IFERROR(INDEX('Project Summary'!$J$4:$J$63,MATCH(D116,'Project Summary'!$C$4:$C$63,0)),""))</f>
        <v/>
      </c>
    </row>
    <row r="117" customFormat="false" ht="15" hidden="false" customHeight="false" outlineLevel="0" collapsed="false">
      <c r="A117" s="29"/>
      <c r="B117" s="26"/>
      <c r="C117" s="28"/>
      <c r="D117" s="28"/>
      <c r="E117" s="28"/>
      <c r="F117" s="29"/>
      <c r="G117" s="35"/>
      <c r="H117" s="26"/>
      <c r="I117" s="31" t="str">
        <f aca="false">IF(D117="","",IF(F117="Paid","Yes","No"))</f>
        <v/>
      </c>
      <c r="J117" s="53" t="str">
        <f aca="false">IF(D117="","",IFERROR(INDEX('Project Summary'!$J$4:$J$63,MATCH(D117,'Project Summary'!$C$4:$C$63,0)),""))</f>
        <v/>
      </c>
    </row>
    <row r="118" customFormat="false" ht="15" hidden="false" customHeight="false" outlineLevel="0" collapsed="false">
      <c r="A118" s="29"/>
      <c r="B118" s="26"/>
      <c r="C118" s="28"/>
      <c r="D118" s="28"/>
      <c r="E118" s="28"/>
      <c r="F118" s="29"/>
      <c r="G118" s="35"/>
      <c r="H118" s="26"/>
      <c r="I118" s="23" t="str">
        <f aca="false">IF(D118="","",IF(F118="Paid","Yes","No"))</f>
        <v/>
      </c>
      <c r="J118" s="52" t="str">
        <f aca="false">IF(D118="","",IFERROR(INDEX('Project Summary'!$J$4:$J$63,MATCH(D118,'Project Summary'!$C$4:$C$63,0)),""))</f>
        <v/>
      </c>
    </row>
    <row r="119" customFormat="false" ht="15" hidden="false" customHeight="false" outlineLevel="0" collapsed="false">
      <c r="A119" s="29"/>
      <c r="B119" s="26"/>
      <c r="C119" s="28"/>
      <c r="D119" s="28"/>
      <c r="E119" s="28"/>
      <c r="F119" s="29"/>
      <c r="G119" s="35"/>
      <c r="H119" s="26"/>
      <c r="I119" s="31" t="str">
        <f aca="false">IF(D119="","",IF(F119="Paid","Yes","No"))</f>
        <v/>
      </c>
      <c r="J119" s="53" t="str">
        <f aca="false">IF(D119="","",IFERROR(INDEX('Project Summary'!$J$4:$J$63,MATCH(D119,'Project Summary'!$C$4:$C$63,0)),""))</f>
        <v/>
      </c>
    </row>
    <row r="120" customFormat="false" ht="15" hidden="false" customHeight="false" outlineLevel="0" collapsed="false">
      <c r="A120" s="29"/>
      <c r="B120" s="26"/>
      <c r="C120" s="28"/>
      <c r="D120" s="28"/>
      <c r="E120" s="28"/>
      <c r="F120" s="29"/>
      <c r="G120" s="35"/>
      <c r="H120" s="26"/>
      <c r="I120" s="23" t="str">
        <f aca="false">IF(D120="","",IF(F120="Paid","Yes","No"))</f>
        <v/>
      </c>
      <c r="J120" s="52" t="str">
        <f aca="false">IF(D120="","",IFERROR(INDEX('Project Summary'!$J$4:$J$63,MATCH(D120,'Project Summary'!$C$4:$C$63,0)),""))</f>
        <v/>
      </c>
    </row>
    <row r="121" customFormat="false" ht="15" hidden="false" customHeight="false" outlineLevel="0" collapsed="false">
      <c r="A121" s="29"/>
      <c r="B121" s="26"/>
      <c r="C121" s="28"/>
      <c r="D121" s="28"/>
      <c r="E121" s="28"/>
      <c r="F121" s="29"/>
      <c r="G121" s="35"/>
      <c r="H121" s="26"/>
      <c r="I121" s="31" t="str">
        <f aca="false">IF(D121="","",IF(F121="Paid","Yes","No"))</f>
        <v/>
      </c>
      <c r="J121" s="53" t="str">
        <f aca="false">IF(D121="","",IFERROR(INDEX('Project Summary'!$J$4:$J$63,MATCH(D121,'Project Summary'!$C$4:$C$63,0)),""))</f>
        <v/>
      </c>
    </row>
    <row r="122" customFormat="false" ht="15" hidden="false" customHeight="false" outlineLevel="0" collapsed="false">
      <c r="A122" s="29"/>
      <c r="B122" s="26"/>
      <c r="C122" s="28"/>
      <c r="D122" s="28"/>
      <c r="E122" s="28"/>
      <c r="F122" s="29"/>
      <c r="G122" s="35"/>
      <c r="H122" s="26"/>
      <c r="I122" s="23" t="str">
        <f aca="false">IF(D122="","",IF(F122="Paid","Yes","No"))</f>
        <v/>
      </c>
      <c r="J122" s="52" t="str">
        <f aca="false">IF(D122="","",IFERROR(INDEX('Project Summary'!$J$4:$J$63,MATCH(D122,'Project Summary'!$C$4:$C$63,0)),""))</f>
        <v/>
      </c>
    </row>
    <row r="123" customFormat="false" ht="15" hidden="false" customHeight="false" outlineLevel="0" collapsed="false">
      <c r="A123" s="29"/>
      <c r="B123" s="26"/>
      <c r="C123" s="28"/>
      <c r="D123" s="28"/>
      <c r="E123" s="28"/>
      <c r="F123" s="29"/>
      <c r="G123" s="35"/>
      <c r="H123" s="26"/>
      <c r="I123" s="31" t="str">
        <f aca="false">IF(D123="","",IF(F123="Paid","Yes","No"))</f>
        <v/>
      </c>
      <c r="J123" s="53" t="str">
        <f aca="false">IF(D123="","",IFERROR(INDEX('Project Summary'!$J$4:$J$63,MATCH(D123,'Project Summary'!$C$4:$C$63,0)),""))</f>
        <v/>
      </c>
    </row>
    <row r="124" customFormat="false" ht="15" hidden="false" customHeight="false" outlineLevel="0" collapsed="false">
      <c r="A124" s="29"/>
      <c r="B124" s="26"/>
      <c r="C124" s="28"/>
      <c r="D124" s="28"/>
      <c r="E124" s="28"/>
      <c r="F124" s="29"/>
      <c r="G124" s="35"/>
      <c r="H124" s="26"/>
      <c r="I124" s="23" t="str">
        <f aca="false">IF(D124="","",IF(F124="Paid","Yes","No"))</f>
        <v/>
      </c>
      <c r="J124" s="52" t="str">
        <f aca="false">IF(D124="","",IFERROR(INDEX('Project Summary'!$J$4:$J$63,MATCH(D124,'Project Summary'!$C$4:$C$63,0)),""))</f>
        <v/>
      </c>
    </row>
    <row r="125" customFormat="false" ht="15" hidden="false" customHeight="false" outlineLevel="0" collapsed="false">
      <c r="A125" s="29"/>
      <c r="B125" s="26"/>
      <c r="C125" s="28"/>
      <c r="D125" s="28"/>
      <c r="E125" s="28"/>
      <c r="F125" s="29"/>
      <c r="G125" s="35"/>
      <c r="H125" s="26"/>
      <c r="I125" s="31" t="str">
        <f aca="false">IF(D125="","",IF(F125="Paid","Yes","No"))</f>
        <v/>
      </c>
      <c r="J125" s="53" t="str">
        <f aca="false">IF(D125="","",IFERROR(INDEX('Project Summary'!$J$4:$J$63,MATCH(D125,'Project Summary'!$C$4:$C$63,0)),""))</f>
        <v/>
      </c>
    </row>
    <row r="126" customFormat="false" ht="15" hidden="false" customHeight="false" outlineLevel="0" collapsed="false">
      <c r="A126" s="29"/>
      <c r="B126" s="26"/>
      <c r="C126" s="28"/>
      <c r="D126" s="28"/>
      <c r="E126" s="28"/>
      <c r="F126" s="29"/>
      <c r="G126" s="35"/>
      <c r="H126" s="26"/>
      <c r="I126" s="23" t="str">
        <f aca="false">IF(D126="","",IF(F126="Paid","Yes","No"))</f>
        <v/>
      </c>
      <c r="J126" s="52" t="str">
        <f aca="false">IF(D126="","",IFERROR(INDEX('Project Summary'!$J$4:$J$63,MATCH(D126,'Project Summary'!$C$4:$C$63,0)),""))</f>
        <v/>
      </c>
    </row>
    <row r="127" customFormat="false" ht="15" hidden="false" customHeight="false" outlineLevel="0" collapsed="false">
      <c r="A127" s="29"/>
      <c r="B127" s="26"/>
      <c r="C127" s="28"/>
      <c r="D127" s="28"/>
      <c r="E127" s="28"/>
      <c r="F127" s="29"/>
      <c r="G127" s="35"/>
      <c r="H127" s="26"/>
      <c r="I127" s="31" t="str">
        <f aca="false">IF(D127="","",IF(F127="Paid","Yes","No"))</f>
        <v/>
      </c>
      <c r="J127" s="53" t="str">
        <f aca="false">IF(D127="","",IFERROR(INDEX('Project Summary'!$J$4:$J$63,MATCH(D127,'Project Summary'!$C$4:$C$63,0)),""))</f>
        <v/>
      </c>
    </row>
    <row r="128" customFormat="false" ht="15" hidden="false" customHeight="false" outlineLevel="0" collapsed="false">
      <c r="A128" s="29"/>
      <c r="B128" s="26"/>
      <c r="C128" s="28"/>
      <c r="D128" s="28"/>
      <c r="E128" s="28"/>
      <c r="F128" s="29"/>
      <c r="G128" s="35"/>
      <c r="H128" s="26"/>
      <c r="I128" s="23" t="str">
        <f aca="false">IF(D128="","",IF(F128="Paid","Yes","No"))</f>
        <v/>
      </c>
      <c r="J128" s="52" t="str">
        <f aca="false">IF(D128="","",IFERROR(INDEX('Project Summary'!$J$4:$J$63,MATCH(D128,'Project Summary'!$C$4:$C$63,0)),""))</f>
        <v/>
      </c>
    </row>
    <row r="129" customFormat="false" ht="15" hidden="false" customHeight="false" outlineLevel="0" collapsed="false">
      <c r="A129" s="29"/>
      <c r="B129" s="26"/>
      <c r="C129" s="28"/>
      <c r="D129" s="28"/>
      <c r="E129" s="28"/>
      <c r="F129" s="29"/>
      <c r="G129" s="35"/>
      <c r="H129" s="26"/>
      <c r="I129" s="31" t="str">
        <f aca="false">IF(D129="","",IF(F129="Paid","Yes","No"))</f>
        <v/>
      </c>
      <c r="J129" s="53" t="str">
        <f aca="false">IF(D129="","",IFERROR(INDEX('Project Summary'!$J$4:$J$63,MATCH(D129,'Project Summary'!$C$4:$C$63,0)),""))</f>
        <v/>
      </c>
    </row>
    <row r="130" customFormat="false" ht="15" hidden="false" customHeight="false" outlineLevel="0" collapsed="false">
      <c r="A130" s="29"/>
      <c r="B130" s="26"/>
      <c r="C130" s="28"/>
      <c r="D130" s="28"/>
      <c r="E130" s="28"/>
      <c r="F130" s="29"/>
      <c r="G130" s="35"/>
      <c r="H130" s="26"/>
      <c r="I130" s="23" t="str">
        <f aca="false">IF(D130="","",IF(F130="Paid","Yes","No"))</f>
        <v/>
      </c>
      <c r="J130" s="52" t="str">
        <f aca="false">IF(D130="","",IFERROR(INDEX('Project Summary'!$J$4:$J$63,MATCH(D130,'Project Summary'!$C$4:$C$63,0)),""))</f>
        <v/>
      </c>
    </row>
    <row r="131" customFormat="false" ht="15" hidden="false" customHeight="false" outlineLevel="0" collapsed="false">
      <c r="A131" s="29"/>
      <c r="B131" s="26"/>
      <c r="C131" s="28"/>
      <c r="D131" s="28"/>
      <c r="E131" s="28"/>
      <c r="F131" s="29"/>
      <c r="G131" s="35"/>
      <c r="H131" s="26"/>
      <c r="I131" s="31" t="str">
        <f aca="false">IF(D131="","",IF(F131="Paid","Yes","No"))</f>
        <v/>
      </c>
      <c r="J131" s="53" t="str">
        <f aca="false">IF(D131="","",IFERROR(INDEX('Project Summary'!$J$4:$J$63,MATCH(D131,'Project Summary'!$C$4:$C$63,0)),""))</f>
        <v/>
      </c>
    </row>
    <row r="132" customFormat="false" ht="15" hidden="false" customHeight="false" outlineLevel="0" collapsed="false">
      <c r="A132" s="29"/>
      <c r="B132" s="26"/>
      <c r="C132" s="28"/>
      <c r="D132" s="28"/>
      <c r="E132" s="28"/>
      <c r="F132" s="29"/>
      <c r="G132" s="35"/>
      <c r="H132" s="26"/>
      <c r="I132" s="23" t="str">
        <f aca="false">IF(D132="","",IF(F132="Paid","Yes","No"))</f>
        <v/>
      </c>
      <c r="J132" s="52" t="str">
        <f aca="false">IF(D132="","",IFERROR(INDEX('Project Summary'!$J$4:$J$63,MATCH(D132,'Project Summary'!$C$4:$C$63,0)),""))</f>
        <v/>
      </c>
    </row>
    <row r="133" customFormat="false" ht="15" hidden="false" customHeight="false" outlineLevel="0" collapsed="false">
      <c r="A133" s="29"/>
      <c r="B133" s="26"/>
      <c r="C133" s="28"/>
      <c r="D133" s="28"/>
      <c r="E133" s="28"/>
      <c r="F133" s="29"/>
      <c r="G133" s="35"/>
      <c r="H133" s="26"/>
      <c r="I133" s="31" t="str">
        <f aca="false">IF(D133="","",IF(F133="Paid","Yes","No"))</f>
        <v/>
      </c>
      <c r="J133" s="53" t="str">
        <f aca="false">IF(D133="","",IFERROR(INDEX('Project Summary'!$J$4:$J$63,MATCH(D133,'Project Summary'!$C$4:$C$63,0)),""))</f>
        <v/>
      </c>
    </row>
    <row r="134" customFormat="false" ht="15" hidden="false" customHeight="false" outlineLevel="0" collapsed="false">
      <c r="A134" s="29"/>
      <c r="B134" s="26"/>
      <c r="C134" s="28"/>
      <c r="D134" s="28"/>
      <c r="E134" s="28"/>
      <c r="F134" s="29"/>
      <c r="G134" s="35"/>
      <c r="H134" s="26"/>
      <c r="I134" s="23" t="str">
        <f aca="false">IF(D134="","",IF(F134="Paid","Yes","No"))</f>
        <v/>
      </c>
      <c r="J134" s="52" t="str">
        <f aca="false">IF(D134="","",IFERROR(INDEX('Project Summary'!$J$4:$J$63,MATCH(D134,'Project Summary'!$C$4:$C$63,0)),""))</f>
        <v/>
      </c>
    </row>
    <row r="135" customFormat="false" ht="15" hidden="false" customHeight="false" outlineLevel="0" collapsed="false">
      <c r="A135" s="29"/>
      <c r="B135" s="26"/>
      <c r="C135" s="28"/>
      <c r="D135" s="28"/>
      <c r="E135" s="28"/>
      <c r="F135" s="29"/>
      <c r="G135" s="35"/>
      <c r="H135" s="26"/>
      <c r="I135" s="31" t="str">
        <f aca="false">IF(D135="","",IF(F135="Paid","Yes","No"))</f>
        <v/>
      </c>
      <c r="J135" s="53" t="str">
        <f aca="false">IF(D135="","",IFERROR(INDEX('Project Summary'!$J$4:$J$63,MATCH(D135,'Project Summary'!$C$4:$C$63,0)),""))</f>
        <v/>
      </c>
    </row>
    <row r="136" customFormat="false" ht="15" hidden="false" customHeight="false" outlineLevel="0" collapsed="false">
      <c r="A136" s="29"/>
      <c r="B136" s="26"/>
      <c r="C136" s="28"/>
      <c r="D136" s="28"/>
      <c r="E136" s="28"/>
      <c r="F136" s="29"/>
      <c r="G136" s="35"/>
      <c r="H136" s="26"/>
      <c r="I136" s="23" t="str">
        <f aca="false">IF(D136="","",IF(F136="Paid","Yes","No"))</f>
        <v/>
      </c>
      <c r="J136" s="52" t="str">
        <f aca="false">IF(D136="","",IFERROR(INDEX('Project Summary'!$J$4:$J$63,MATCH(D136,'Project Summary'!$C$4:$C$63,0)),""))</f>
        <v/>
      </c>
    </row>
    <row r="137" customFormat="false" ht="15" hidden="false" customHeight="false" outlineLevel="0" collapsed="false">
      <c r="A137" s="29"/>
      <c r="B137" s="26"/>
      <c r="C137" s="28"/>
      <c r="D137" s="28"/>
      <c r="E137" s="28"/>
      <c r="F137" s="29"/>
      <c r="G137" s="35"/>
      <c r="H137" s="26"/>
      <c r="I137" s="31" t="str">
        <f aca="false">IF(D137="","",IF(F137="Paid","Yes","No"))</f>
        <v/>
      </c>
      <c r="J137" s="53" t="str">
        <f aca="false">IF(D137="","",IFERROR(INDEX('Project Summary'!$J$4:$J$63,MATCH(D137,'Project Summary'!$C$4:$C$63,0)),""))</f>
        <v/>
      </c>
    </row>
    <row r="138" customFormat="false" ht="15" hidden="false" customHeight="false" outlineLevel="0" collapsed="false">
      <c r="A138" s="29"/>
      <c r="B138" s="26"/>
      <c r="C138" s="28"/>
      <c r="D138" s="28"/>
      <c r="E138" s="28"/>
      <c r="F138" s="29"/>
      <c r="G138" s="35"/>
      <c r="H138" s="26"/>
      <c r="I138" s="23" t="str">
        <f aca="false">IF(D138="","",IF(F138="Paid","Yes","No"))</f>
        <v/>
      </c>
      <c r="J138" s="52" t="str">
        <f aca="false">IF(D138="","",IFERROR(INDEX('Project Summary'!$J$4:$J$63,MATCH(D138,'Project Summary'!$C$4:$C$63,0)),""))</f>
        <v/>
      </c>
    </row>
    <row r="139" customFormat="false" ht="15" hidden="false" customHeight="false" outlineLevel="0" collapsed="false">
      <c r="A139" s="29"/>
      <c r="B139" s="26"/>
      <c r="C139" s="28"/>
      <c r="D139" s="28"/>
      <c r="E139" s="28"/>
      <c r="F139" s="29"/>
      <c r="G139" s="35"/>
      <c r="H139" s="26"/>
      <c r="I139" s="31" t="str">
        <f aca="false">IF(D139="","",IF(F139="Paid","Yes","No"))</f>
        <v/>
      </c>
      <c r="J139" s="53" t="str">
        <f aca="false">IF(D139="","",IFERROR(INDEX('Project Summary'!$J$4:$J$63,MATCH(D139,'Project Summary'!$C$4:$C$63,0)),""))</f>
        <v/>
      </c>
    </row>
    <row r="140" customFormat="false" ht="15" hidden="false" customHeight="false" outlineLevel="0" collapsed="false">
      <c r="A140" s="29"/>
      <c r="B140" s="26"/>
      <c r="C140" s="28"/>
      <c r="D140" s="28"/>
      <c r="E140" s="28"/>
      <c r="F140" s="29"/>
      <c r="G140" s="35"/>
      <c r="H140" s="26"/>
      <c r="I140" s="23" t="str">
        <f aca="false">IF(D140="","",IF(F140="Paid","Yes","No"))</f>
        <v/>
      </c>
      <c r="J140" s="52" t="str">
        <f aca="false">IF(D140="","",IFERROR(INDEX('Project Summary'!$J$4:$J$63,MATCH(D140,'Project Summary'!$C$4:$C$63,0)),""))</f>
        <v/>
      </c>
    </row>
    <row r="141" customFormat="false" ht="15" hidden="false" customHeight="false" outlineLevel="0" collapsed="false">
      <c r="A141" s="29"/>
      <c r="B141" s="26"/>
      <c r="C141" s="28"/>
      <c r="D141" s="28"/>
      <c r="E141" s="28"/>
      <c r="F141" s="29"/>
      <c r="G141" s="35"/>
      <c r="H141" s="26"/>
      <c r="I141" s="31" t="str">
        <f aca="false">IF(D141="","",IF(F141="Paid","Yes","No"))</f>
        <v/>
      </c>
      <c r="J141" s="53" t="str">
        <f aca="false">IF(D141="","",IFERROR(INDEX('Project Summary'!$J$4:$J$63,MATCH(D141,'Project Summary'!$C$4:$C$63,0)),""))</f>
        <v/>
      </c>
    </row>
    <row r="142" customFormat="false" ht="15" hidden="false" customHeight="false" outlineLevel="0" collapsed="false">
      <c r="A142" s="29"/>
      <c r="B142" s="26"/>
      <c r="C142" s="28"/>
      <c r="D142" s="28"/>
      <c r="E142" s="28"/>
      <c r="F142" s="29"/>
      <c r="G142" s="35"/>
      <c r="H142" s="26"/>
      <c r="I142" s="23" t="str">
        <f aca="false">IF(D142="","",IF(F142="Paid","Yes","No"))</f>
        <v/>
      </c>
      <c r="J142" s="52" t="str">
        <f aca="false">IF(D142="","",IFERROR(INDEX('Project Summary'!$J$4:$J$63,MATCH(D142,'Project Summary'!$C$4:$C$63,0)),""))</f>
        <v/>
      </c>
    </row>
    <row r="143" customFormat="false" ht="15" hidden="false" customHeight="false" outlineLevel="0" collapsed="false">
      <c r="A143" s="29"/>
      <c r="B143" s="26"/>
      <c r="C143" s="28"/>
      <c r="D143" s="28"/>
      <c r="E143" s="28"/>
      <c r="F143" s="29"/>
      <c r="G143" s="35"/>
      <c r="H143" s="26"/>
      <c r="I143" s="31" t="str">
        <f aca="false">IF(D143="","",IF(F143="Paid","Yes","No"))</f>
        <v/>
      </c>
      <c r="J143" s="53" t="str">
        <f aca="false">IF(D143="","",IFERROR(INDEX('Project Summary'!$J$4:$J$63,MATCH(D143,'Project Summary'!$C$4:$C$63,0)),""))</f>
        <v/>
      </c>
    </row>
    <row r="144" customFormat="false" ht="15" hidden="false" customHeight="false" outlineLevel="0" collapsed="false">
      <c r="A144" s="29"/>
      <c r="B144" s="26"/>
      <c r="C144" s="28"/>
      <c r="D144" s="28"/>
      <c r="E144" s="28"/>
      <c r="F144" s="29"/>
      <c r="G144" s="35"/>
      <c r="H144" s="26"/>
      <c r="I144" s="23" t="str">
        <f aca="false">IF(D144="","",IF(F144="Paid","Yes","No"))</f>
        <v/>
      </c>
      <c r="J144" s="52" t="str">
        <f aca="false">IF(D144="","",IFERROR(INDEX('Project Summary'!$J$4:$J$63,MATCH(D144,'Project Summary'!$C$4:$C$63,0)),""))</f>
        <v/>
      </c>
    </row>
    <row r="145" customFormat="false" ht="15" hidden="false" customHeight="false" outlineLevel="0" collapsed="false">
      <c r="A145" s="29"/>
      <c r="B145" s="26"/>
      <c r="C145" s="28"/>
      <c r="D145" s="28"/>
      <c r="E145" s="28"/>
      <c r="F145" s="29"/>
      <c r="G145" s="35"/>
      <c r="H145" s="26"/>
      <c r="I145" s="31" t="str">
        <f aca="false">IF(D145="","",IF(F145="Paid","Yes","No"))</f>
        <v/>
      </c>
      <c r="J145" s="53" t="str">
        <f aca="false">IF(D145="","",IFERROR(INDEX('Project Summary'!$J$4:$J$63,MATCH(D145,'Project Summary'!$C$4:$C$63,0)),""))</f>
        <v/>
      </c>
    </row>
    <row r="146" customFormat="false" ht="15" hidden="false" customHeight="false" outlineLevel="0" collapsed="false">
      <c r="A146" s="29"/>
      <c r="B146" s="26"/>
      <c r="C146" s="28"/>
      <c r="D146" s="28"/>
      <c r="E146" s="28"/>
      <c r="F146" s="29"/>
      <c r="G146" s="35"/>
      <c r="H146" s="26"/>
      <c r="I146" s="23" t="str">
        <f aca="false">IF(D146="","",IF(F146="Paid","Yes","No"))</f>
        <v/>
      </c>
      <c r="J146" s="52" t="str">
        <f aca="false">IF(D146="","",IFERROR(INDEX('Project Summary'!$J$4:$J$63,MATCH(D146,'Project Summary'!$C$4:$C$63,0)),""))</f>
        <v/>
      </c>
    </row>
    <row r="147" customFormat="false" ht="15" hidden="false" customHeight="false" outlineLevel="0" collapsed="false">
      <c r="A147" s="29"/>
      <c r="B147" s="26"/>
      <c r="C147" s="28"/>
      <c r="D147" s="28"/>
      <c r="E147" s="28"/>
      <c r="F147" s="29"/>
      <c r="G147" s="35"/>
      <c r="H147" s="26"/>
      <c r="I147" s="31" t="str">
        <f aca="false">IF(D147="","",IF(F147="Paid","Yes","No"))</f>
        <v/>
      </c>
      <c r="J147" s="53" t="str">
        <f aca="false">IF(D147="","",IFERROR(INDEX('Project Summary'!$J$4:$J$63,MATCH(D147,'Project Summary'!$C$4:$C$63,0)),""))</f>
        <v/>
      </c>
    </row>
    <row r="148" customFormat="false" ht="15" hidden="false" customHeight="false" outlineLevel="0" collapsed="false">
      <c r="A148" s="29"/>
      <c r="B148" s="26"/>
      <c r="C148" s="28"/>
      <c r="D148" s="28"/>
      <c r="E148" s="28"/>
      <c r="F148" s="29"/>
      <c r="G148" s="35"/>
      <c r="H148" s="26"/>
      <c r="I148" s="23" t="str">
        <f aca="false">IF(D148="","",IF(F148="Paid","Yes","No"))</f>
        <v/>
      </c>
      <c r="J148" s="52" t="str">
        <f aca="false">IF(D148="","",IFERROR(INDEX('Project Summary'!$J$4:$J$63,MATCH(D148,'Project Summary'!$C$4:$C$63,0)),""))</f>
        <v/>
      </c>
    </row>
    <row r="149" customFormat="false" ht="15" hidden="false" customHeight="false" outlineLevel="0" collapsed="false">
      <c r="A149" s="29"/>
      <c r="B149" s="26"/>
      <c r="C149" s="28"/>
      <c r="D149" s="28"/>
      <c r="E149" s="28"/>
      <c r="F149" s="29"/>
      <c r="G149" s="35"/>
      <c r="H149" s="26"/>
      <c r="I149" s="31" t="str">
        <f aca="false">IF(D149="","",IF(F149="Paid","Yes","No"))</f>
        <v/>
      </c>
      <c r="J149" s="53" t="str">
        <f aca="false">IF(D149="","",IFERROR(INDEX('Project Summary'!$J$4:$J$63,MATCH(D149,'Project Summary'!$C$4:$C$63,0)),""))</f>
        <v/>
      </c>
    </row>
    <row r="150" customFormat="false" ht="15" hidden="false" customHeight="false" outlineLevel="0" collapsed="false">
      <c r="A150" s="29"/>
      <c r="B150" s="26"/>
      <c r="C150" s="28"/>
      <c r="D150" s="28"/>
      <c r="E150" s="28"/>
      <c r="F150" s="29"/>
      <c r="G150" s="35"/>
      <c r="H150" s="26"/>
      <c r="I150" s="23" t="str">
        <f aca="false">IF(D150="","",IF(F150="Paid","Yes","No"))</f>
        <v/>
      </c>
      <c r="J150" s="52" t="str">
        <f aca="false">IF(D150="","",IFERROR(INDEX('Project Summary'!$J$4:$J$63,MATCH(D150,'Project Summary'!$C$4:$C$63,0)),""))</f>
        <v/>
      </c>
    </row>
    <row r="151" customFormat="false" ht="15" hidden="false" customHeight="false" outlineLevel="0" collapsed="false">
      <c r="A151" s="29"/>
      <c r="B151" s="26"/>
      <c r="C151" s="28"/>
      <c r="D151" s="28"/>
      <c r="E151" s="28"/>
      <c r="F151" s="29"/>
      <c r="G151" s="35"/>
      <c r="H151" s="26"/>
      <c r="I151" s="31" t="str">
        <f aca="false">IF(D151="","",IF(F151="Paid","Yes","No"))</f>
        <v/>
      </c>
      <c r="J151" s="53" t="str">
        <f aca="false">IF(D151="","",IFERROR(INDEX('Project Summary'!$J$4:$J$63,MATCH(D151,'Project Summary'!$C$4:$C$63,0)),""))</f>
        <v/>
      </c>
    </row>
    <row r="152" customFormat="false" ht="15" hidden="false" customHeight="false" outlineLevel="0" collapsed="false">
      <c r="A152" s="29"/>
      <c r="B152" s="26"/>
      <c r="C152" s="28"/>
      <c r="D152" s="28"/>
      <c r="E152" s="28"/>
      <c r="F152" s="29"/>
      <c r="G152" s="35"/>
      <c r="H152" s="26"/>
      <c r="I152" s="23" t="str">
        <f aca="false">IF(D152="","",IF(F152="Paid","Yes","No"))</f>
        <v/>
      </c>
      <c r="J152" s="52" t="str">
        <f aca="false">IF(D152="","",IFERROR(INDEX('Project Summary'!$J$4:$J$63,MATCH(D152,'Project Summary'!$C$4:$C$63,0)),""))</f>
        <v/>
      </c>
    </row>
    <row r="153" customFormat="false" ht="15" hidden="false" customHeight="false" outlineLevel="0" collapsed="false">
      <c r="A153" s="29"/>
      <c r="B153" s="26"/>
      <c r="C153" s="28"/>
      <c r="D153" s="28"/>
      <c r="E153" s="28"/>
      <c r="F153" s="29"/>
      <c r="G153" s="35"/>
      <c r="H153" s="26"/>
      <c r="I153" s="31" t="str">
        <f aca="false">IF(D153="","",IF(F153="Paid","Yes","No"))</f>
        <v/>
      </c>
      <c r="J153" s="53" t="str">
        <f aca="false">IF(D153="","",IFERROR(INDEX('Project Summary'!$J$4:$J$63,MATCH(D153,'Project Summary'!$C$4:$C$63,0)),""))</f>
        <v/>
      </c>
    </row>
    <row r="154" customFormat="false" ht="15" hidden="false" customHeight="false" outlineLevel="0" collapsed="false">
      <c r="A154" s="29"/>
      <c r="B154" s="26"/>
      <c r="C154" s="28"/>
      <c r="D154" s="28"/>
      <c r="E154" s="28"/>
      <c r="F154" s="29"/>
      <c r="G154" s="35"/>
      <c r="H154" s="26"/>
      <c r="I154" s="23" t="str">
        <f aca="false">IF(D154="","",IF(F154="Paid","Yes","No"))</f>
        <v/>
      </c>
      <c r="J154" s="52" t="str">
        <f aca="false">IF(D154="","",IFERROR(INDEX('Project Summary'!$J$4:$J$63,MATCH(D154,'Project Summary'!$C$4:$C$63,0)),""))</f>
        <v/>
      </c>
    </row>
    <row r="155" customFormat="false" ht="15" hidden="false" customHeight="false" outlineLevel="0" collapsed="false">
      <c r="A155" s="29"/>
      <c r="B155" s="26"/>
      <c r="C155" s="28"/>
      <c r="D155" s="28"/>
      <c r="E155" s="28"/>
      <c r="F155" s="29"/>
      <c r="G155" s="35"/>
      <c r="H155" s="26"/>
      <c r="I155" s="31" t="str">
        <f aca="false">IF(D155="","",IF(F155="Paid","Yes","No"))</f>
        <v/>
      </c>
      <c r="J155" s="53" t="str">
        <f aca="false">IF(D155="","",IFERROR(INDEX('Project Summary'!$J$4:$J$63,MATCH(D155,'Project Summary'!$C$4:$C$63,0)),""))</f>
        <v/>
      </c>
    </row>
    <row r="156" customFormat="false" ht="15" hidden="false" customHeight="false" outlineLevel="0" collapsed="false">
      <c r="A156" s="29"/>
      <c r="B156" s="26"/>
      <c r="C156" s="28"/>
      <c r="D156" s="28"/>
      <c r="E156" s="28"/>
      <c r="F156" s="29"/>
      <c r="G156" s="35"/>
      <c r="H156" s="26"/>
      <c r="I156" s="23" t="str">
        <f aca="false">IF(D156="","",IF(F156="Paid","Yes","No"))</f>
        <v/>
      </c>
      <c r="J156" s="52" t="str">
        <f aca="false">IF(D156="","",IFERROR(INDEX('Project Summary'!$J$4:$J$63,MATCH(D156,'Project Summary'!$C$4:$C$63,0)),""))</f>
        <v/>
      </c>
    </row>
    <row r="157" customFormat="false" ht="15" hidden="false" customHeight="false" outlineLevel="0" collapsed="false">
      <c r="A157" s="29"/>
      <c r="B157" s="26"/>
      <c r="C157" s="28"/>
      <c r="D157" s="28"/>
      <c r="E157" s="28"/>
      <c r="F157" s="29"/>
      <c r="G157" s="35"/>
      <c r="H157" s="26"/>
      <c r="I157" s="31" t="str">
        <f aca="false">IF(D157="","",IF(F157="Paid","Yes","No"))</f>
        <v/>
      </c>
      <c r="J157" s="53" t="str">
        <f aca="false">IF(D157="","",IFERROR(INDEX('Project Summary'!$J$4:$J$63,MATCH(D157,'Project Summary'!$C$4:$C$63,0)),""))</f>
        <v/>
      </c>
    </row>
    <row r="158" customFormat="false" ht="15" hidden="false" customHeight="false" outlineLevel="0" collapsed="false">
      <c r="A158" s="29"/>
      <c r="B158" s="26"/>
      <c r="C158" s="28"/>
      <c r="D158" s="28"/>
      <c r="E158" s="28"/>
      <c r="F158" s="29"/>
      <c r="G158" s="35"/>
      <c r="H158" s="26"/>
      <c r="I158" s="23" t="str">
        <f aca="false">IF(D158="","",IF(F158="Paid","Yes","No"))</f>
        <v/>
      </c>
      <c r="J158" s="52" t="str">
        <f aca="false">IF(D158="","",IFERROR(INDEX('Project Summary'!$J$4:$J$63,MATCH(D158,'Project Summary'!$C$4:$C$63,0)),""))</f>
        <v/>
      </c>
    </row>
    <row r="159" customFormat="false" ht="15" hidden="false" customHeight="false" outlineLevel="0" collapsed="false">
      <c r="A159" s="29"/>
      <c r="B159" s="26"/>
      <c r="C159" s="28"/>
      <c r="D159" s="28"/>
      <c r="E159" s="28"/>
      <c r="F159" s="29"/>
      <c r="G159" s="35"/>
      <c r="H159" s="26"/>
      <c r="I159" s="31" t="str">
        <f aca="false">IF(D159="","",IF(F159="Paid","Yes","No"))</f>
        <v/>
      </c>
      <c r="J159" s="53" t="str">
        <f aca="false">IF(D159="","",IFERROR(INDEX('Project Summary'!$J$4:$J$63,MATCH(D159,'Project Summary'!$C$4:$C$63,0)),""))</f>
        <v/>
      </c>
    </row>
    <row r="160" customFormat="false" ht="15" hidden="false" customHeight="false" outlineLevel="0" collapsed="false">
      <c r="A160" s="29"/>
      <c r="B160" s="26"/>
      <c r="C160" s="28"/>
      <c r="D160" s="28"/>
      <c r="E160" s="28"/>
      <c r="F160" s="29"/>
      <c r="G160" s="35"/>
      <c r="H160" s="26"/>
      <c r="I160" s="23" t="str">
        <f aca="false">IF(D160="","",IF(F160="Paid","Yes","No"))</f>
        <v/>
      </c>
      <c r="J160" s="52" t="str">
        <f aca="false">IF(D160="","",IFERROR(INDEX('Project Summary'!$J$4:$J$63,MATCH(D160,'Project Summary'!$C$4:$C$63,0)),""))</f>
        <v/>
      </c>
    </row>
    <row r="161" customFormat="false" ht="15" hidden="false" customHeight="false" outlineLevel="0" collapsed="false">
      <c r="A161" s="29"/>
      <c r="B161" s="26"/>
      <c r="C161" s="28"/>
      <c r="D161" s="28"/>
      <c r="E161" s="28"/>
      <c r="F161" s="29"/>
      <c r="G161" s="35"/>
      <c r="H161" s="26"/>
      <c r="I161" s="31" t="str">
        <f aca="false">IF(D161="","",IF(F161="Paid","Yes","No"))</f>
        <v/>
      </c>
      <c r="J161" s="53" t="str">
        <f aca="false">IF(D161="","",IFERROR(INDEX('Project Summary'!$J$4:$J$63,MATCH(D161,'Project Summary'!$C$4:$C$63,0)),""))</f>
        <v/>
      </c>
    </row>
    <row r="162" customFormat="false" ht="15" hidden="false" customHeight="false" outlineLevel="0" collapsed="false">
      <c r="A162" s="29"/>
      <c r="B162" s="26"/>
      <c r="C162" s="28"/>
      <c r="D162" s="28"/>
      <c r="E162" s="28"/>
      <c r="F162" s="29"/>
      <c r="G162" s="35"/>
      <c r="H162" s="26"/>
      <c r="I162" s="23" t="str">
        <f aca="false">IF(D162="","",IF(F162="Paid","Yes","No"))</f>
        <v/>
      </c>
      <c r="J162" s="52" t="str">
        <f aca="false">IF(D162="","",IFERROR(INDEX('Project Summary'!$J$4:$J$63,MATCH(D162,'Project Summary'!$C$4:$C$63,0)),""))</f>
        <v/>
      </c>
    </row>
    <row r="163" customFormat="false" ht="15" hidden="false" customHeight="false" outlineLevel="0" collapsed="false">
      <c r="A163" s="29"/>
      <c r="B163" s="26"/>
      <c r="C163" s="28"/>
      <c r="D163" s="28"/>
      <c r="E163" s="28"/>
      <c r="F163" s="29"/>
      <c r="G163" s="35"/>
      <c r="H163" s="26"/>
      <c r="I163" s="31" t="str">
        <f aca="false">IF(D163="","",IF(F163="Paid","Yes","No"))</f>
        <v/>
      </c>
      <c r="J163" s="53" t="str">
        <f aca="false">IF(D163="","",IFERROR(INDEX('Project Summary'!$J$4:$J$63,MATCH(D163,'Project Summary'!$C$4:$C$63,0)),""))</f>
        <v/>
      </c>
    </row>
    <row r="164" customFormat="false" ht="15" hidden="false" customHeight="false" outlineLevel="0" collapsed="false">
      <c r="A164" s="29"/>
      <c r="B164" s="26"/>
      <c r="C164" s="28"/>
      <c r="D164" s="28"/>
      <c r="E164" s="28"/>
      <c r="F164" s="29"/>
      <c r="G164" s="35"/>
      <c r="H164" s="26"/>
      <c r="I164" s="23" t="str">
        <f aca="false">IF(D164="","",IF(F164="Paid","Yes","No"))</f>
        <v/>
      </c>
      <c r="J164" s="52" t="str">
        <f aca="false">IF(D164="","",IFERROR(INDEX('Project Summary'!$J$4:$J$63,MATCH(D164,'Project Summary'!$C$4:$C$63,0)),""))</f>
        <v/>
      </c>
    </row>
    <row r="165" customFormat="false" ht="15" hidden="false" customHeight="false" outlineLevel="0" collapsed="false">
      <c r="A165" s="29"/>
      <c r="B165" s="26"/>
      <c r="C165" s="28"/>
      <c r="D165" s="28"/>
      <c r="E165" s="28"/>
      <c r="F165" s="29"/>
      <c r="G165" s="35"/>
      <c r="H165" s="26"/>
      <c r="I165" s="31" t="str">
        <f aca="false">IF(D165="","",IF(F165="Paid","Yes","No"))</f>
        <v/>
      </c>
      <c r="J165" s="53" t="str">
        <f aca="false">IF(D165="","",IFERROR(INDEX('Project Summary'!$J$4:$J$63,MATCH(D165,'Project Summary'!$C$4:$C$63,0)),""))</f>
        <v/>
      </c>
    </row>
    <row r="166" customFormat="false" ht="15" hidden="false" customHeight="false" outlineLevel="0" collapsed="false">
      <c r="A166" s="29"/>
      <c r="B166" s="26"/>
      <c r="C166" s="28"/>
      <c r="D166" s="28"/>
      <c r="E166" s="28"/>
      <c r="F166" s="29"/>
      <c r="G166" s="35"/>
      <c r="H166" s="26"/>
      <c r="I166" s="23" t="str">
        <f aca="false">IF(D166="","",IF(F166="Paid","Yes","No"))</f>
        <v/>
      </c>
      <c r="J166" s="52" t="str">
        <f aca="false">IF(D166="","",IFERROR(INDEX('Project Summary'!$J$4:$J$63,MATCH(D166,'Project Summary'!$C$4:$C$63,0)),""))</f>
        <v/>
      </c>
    </row>
    <row r="167" customFormat="false" ht="15" hidden="false" customHeight="false" outlineLevel="0" collapsed="false">
      <c r="A167" s="29"/>
      <c r="B167" s="26"/>
      <c r="C167" s="28"/>
      <c r="D167" s="28"/>
      <c r="E167" s="28"/>
      <c r="F167" s="29"/>
      <c r="G167" s="35"/>
      <c r="H167" s="26"/>
      <c r="I167" s="31" t="str">
        <f aca="false">IF(D167="","",IF(F167="Paid","Yes","No"))</f>
        <v/>
      </c>
      <c r="J167" s="53" t="str">
        <f aca="false">IF(D167="","",IFERROR(INDEX('Project Summary'!$J$4:$J$63,MATCH(D167,'Project Summary'!$C$4:$C$63,0)),""))</f>
        <v/>
      </c>
    </row>
    <row r="168" customFormat="false" ht="15" hidden="false" customHeight="false" outlineLevel="0" collapsed="false">
      <c r="A168" s="29"/>
      <c r="B168" s="26"/>
      <c r="C168" s="28"/>
      <c r="D168" s="28"/>
      <c r="E168" s="28"/>
      <c r="F168" s="29"/>
      <c r="G168" s="35"/>
      <c r="H168" s="26"/>
      <c r="I168" s="23" t="str">
        <f aca="false">IF(D168="","",IF(F168="Paid","Yes","No"))</f>
        <v/>
      </c>
      <c r="J168" s="52" t="str">
        <f aca="false">IF(D168="","",IFERROR(INDEX('Project Summary'!$J$4:$J$63,MATCH(D168,'Project Summary'!$C$4:$C$63,0)),""))</f>
        <v/>
      </c>
    </row>
    <row r="169" customFormat="false" ht="15" hidden="false" customHeight="false" outlineLevel="0" collapsed="false">
      <c r="A169" s="29"/>
      <c r="B169" s="26"/>
      <c r="C169" s="28"/>
      <c r="D169" s="28"/>
      <c r="E169" s="28"/>
      <c r="F169" s="29"/>
      <c r="G169" s="35"/>
      <c r="H169" s="26"/>
      <c r="I169" s="31" t="str">
        <f aca="false">IF(D169="","",IF(F169="Paid","Yes","No"))</f>
        <v/>
      </c>
      <c r="J169" s="53" t="str">
        <f aca="false">IF(D169="","",IFERROR(INDEX('Project Summary'!$J$4:$J$63,MATCH(D169,'Project Summary'!$C$4:$C$63,0)),""))</f>
        <v/>
      </c>
    </row>
    <row r="170" customFormat="false" ht="15" hidden="false" customHeight="false" outlineLevel="0" collapsed="false">
      <c r="A170" s="29"/>
      <c r="B170" s="26"/>
      <c r="C170" s="28"/>
      <c r="D170" s="28"/>
      <c r="E170" s="28"/>
      <c r="F170" s="29"/>
      <c r="G170" s="35"/>
      <c r="H170" s="26"/>
      <c r="I170" s="23" t="str">
        <f aca="false">IF(D170="","",IF(F170="Paid","Yes","No"))</f>
        <v/>
      </c>
      <c r="J170" s="52" t="str">
        <f aca="false">IF(D170="","",IFERROR(INDEX('Project Summary'!$J$4:$J$63,MATCH(D170,'Project Summary'!$C$4:$C$63,0)),""))</f>
        <v/>
      </c>
    </row>
    <row r="171" customFormat="false" ht="15" hidden="false" customHeight="false" outlineLevel="0" collapsed="false">
      <c r="A171" s="29"/>
      <c r="B171" s="26"/>
      <c r="C171" s="28"/>
      <c r="D171" s="28"/>
      <c r="E171" s="28"/>
      <c r="F171" s="29"/>
      <c r="G171" s="35"/>
      <c r="H171" s="26"/>
      <c r="I171" s="31" t="str">
        <f aca="false">IF(D171="","",IF(F171="Paid","Yes","No"))</f>
        <v/>
      </c>
      <c r="J171" s="53" t="str">
        <f aca="false">IF(D171="","",IFERROR(INDEX('Project Summary'!$J$4:$J$63,MATCH(D171,'Project Summary'!$C$4:$C$63,0)),""))</f>
        <v/>
      </c>
    </row>
    <row r="172" customFormat="false" ht="15" hidden="false" customHeight="false" outlineLevel="0" collapsed="false">
      <c r="A172" s="29"/>
      <c r="B172" s="26"/>
      <c r="C172" s="28"/>
      <c r="D172" s="28"/>
      <c r="E172" s="28"/>
      <c r="F172" s="29"/>
      <c r="G172" s="35"/>
      <c r="H172" s="26"/>
      <c r="I172" s="23" t="str">
        <f aca="false">IF(D172="","",IF(F172="Paid","Yes","No"))</f>
        <v/>
      </c>
      <c r="J172" s="52" t="str">
        <f aca="false">IF(D172="","",IFERROR(INDEX('Project Summary'!$J$4:$J$63,MATCH(D172,'Project Summary'!$C$4:$C$63,0)),""))</f>
        <v/>
      </c>
    </row>
    <row r="173" customFormat="false" ht="15" hidden="false" customHeight="false" outlineLevel="0" collapsed="false">
      <c r="A173" s="29"/>
      <c r="B173" s="26"/>
      <c r="C173" s="28"/>
      <c r="D173" s="28"/>
      <c r="E173" s="28"/>
      <c r="F173" s="29"/>
      <c r="G173" s="35"/>
      <c r="H173" s="26"/>
      <c r="I173" s="31" t="str">
        <f aca="false">IF(D173="","",IF(F173="Paid","Yes","No"))</f>
        <v/>
      </c>
      <c r="J173" s="53" t="str">
        <f aca="false">IF(D173="","",IFERROR(INDEX('Project Summary'!$J$4:$J$63,MATCH(D173,'Project Summary'!$C$4:$C$63,0)),""))</f>
        <v/>
      </c>
    </row>
    <row r="174" customFormat="false" ht="15" hidden="false" customHeight="false" outlineLevel="0" collapsed="false">
      <c r="A174" s="29"/>
      <c r="B174" s="26"/>
      <c r="C174" s="28"/>
      <c r="D174" s="28"/>
      <c r="E174" s="28"/>
      <c r="F174" s="29"/>
      <c r="G174" s="35"/>
      <c r="H174" s="26"/>
      <c r="I174" s="23" t="str">
        <f aca="false">IF(D174="","",IF(F174="Paid","Yes","No"))</f>
        <v/>
      </c>
      <c r="J174" s="52" t="str">
        <f aca="false">IF(D174="","",IFERROR(INDEX('Project Summary'!$J$4:$J$63,MATCH(D174,'Project Summary'!$C$4:$C$63,0)),""))</f>
        <v/>
      </c>
    </row>
    <row r="175" customFormat="false" ht="15" hidden="false" customHeight="false" outlineLevel="0" collapsed="false">
      <c r="A175" s="29"/>
      <c r="B175" s="26"/>
      <c r="C175" s="28"/>
      <c r="D175" s="28"/>
      <c r="E175" s="28"/>
      <c r="F175" s="29"/>
      <c r="G175" s="35"/>
      <c r="H175" s="26"/>
      <c r="I175" s="31" t="str">
        <f aca="false">IF(D175="","",IF(F175="Paid","Yes","No"))</f>
        <v/>
      </c>
      <c r="J175" s="53" t="str">
        <f aca="false">IF(D175="","",IFERROR(INDEX('Project Summary'!$J$4:$J$63,MATCH(D175,'Project Summary'!$C$4:$C$63,0)),""))</f>
        <v/>
      </c>
    </row>
    <row r="176" customFormat="false" ht="15" hidden="false" customHeight="false" outlineLevel="0" collapsed="false">
      <c r="A176" s="29"/>
      <c r="B176" s="26"/>
      <c r="C176" s="28"/>
      <c r="D176" s="28"/>
      <c r="E176" s="28"/>
      <c r="F176" s="29"/>
      <c r="G176" s="35"/>
      <c r="H176" s="26"/>
      <c r="I176" s="23" t="str">
        <f aca="false">IF(D176="","",IF(F176="Paid","Yes","No"))</f>
        <v/>
      </c>
      <c r="J176" s="52" t="str">
        <f aca="false">IF(D176="","",IFERROR(INDEX('Project Summary'!$J$4:$J$63,MATCH(D176,'Project Summary'!$C$4:$C$63,0)),""))</f>
        <v/>
      </c>
    </row>
    <row r="177" customFormat="false" ht="15" hidden="false" customHeight="false" outlineLevel="0" collapsed="false">
      <c r="A177" s="29"/>
      <c r="B177" s="26"/>
      <c r="C177" s="28"/>
      <c r="D177" s="28"/>
      <c r="E177" s="28"/>
      <c r="F177" s="29"/>
      <c r="G177" s="35"/>
      <c r="H177" s="26"/>
      <c r="I177" s="31" t="str">
        <f aca="false">IF(D177="","",IF(F177="Paid","Yes","No"))</f>
        <v/>
      </c>
      <c r="J177" s="53" t="str">
        <f aca="false">IF(D177="","",IFERROR(INDEX('Project Summary'!$J$4:$J$63,MATCH(D177,'Project Summary'!$C$4:$C$63,0)),""))</f>
        <v/>
      </c>
    </row>
    <row r="178" customFormat="false" ht="15" hidden="false" customHeight="false" outlineLevel="0" collapsed="false">
      <c r="A178" s="29"/>
      <c r="B178" s="26"/>
      <c r="C178" s="28"/>
      <c r="D178" s="28"/>
      <c r="E178" s="28"/>
      <c r="F178" s="29"/>
      <c r="G178" s="35"/>
      <c r="H178" s="26"/>
      <c r="I178" s="23" t="str">
        <f aca="false">IF(D178="","",IF(F178="Paid","Yes","No"))</f>
        <v/>
      </c>
      <c r="J178" s="52" t="str">
        <f aca="false">IF(D178="","",IFERROR(INDEX('Project Summary'!$J$4:$J$63,MATCH(D178,'Project Summary'!$C$4:$C$63,0)),""))</f>
        <v/>
      </c>
    </row>
    <row r="179" customFormat="false" ht="15" hidden="false" customHeight="false" outlineLevel="0" collapsed="false">
      <c r="A179" s="29"/>
      <c r="B179" s="26"/>
      <c r="C179" s="28"/>
      <c r="D179" s="28"/>
      <c r="E179" s="28"/>
      <c r="F179" s="29"/>
      <c r="G179" s="35"/>
      <c r="H179" s="26"/>
      <c r="I179" s="31" t="str">
        <f aca="false">IF(D179="","",IF(F179="Paid","Yes","No"))</f>
        <v/>
      </c>
      <c r="J179" s="53" t="str">
        <f aca="false">IF(D179="","",IFERROR(INDEX('Project Summary'!$J$4:$J$63,MATCH(D179,'Project Summary'!$C$4:$C$63,0)),""))</f>
        <v/>
      </c>
    </row>
    <row r="180" customFormat="false" ht="15" hidden="false" customHeight="false" outlineLevel="0" collapsed="false">
      <c r="A180" s="29"/>
      <c r="B180" s="26"/>
      <c r="C180" s="28"/>
      <c r="D180" s="28"/>
      <c r="E180" s="28"/>
      <c r="F180" s="29"/>
      <c r="G180" s="35"/>
      <c r="H180" s="26"/>
      <c r="I180" s="23" t="str">
        <f aca="false">IF(D180="","",IF(F180="Paid","Yes","No"))</f>
        <v/>
      </c>
      <c r="J180" s="52" t="str">
        <f aca="false">IF(D180="","",IFERROR(INDEX('Project Summary'!$J$4:$J$63,MATCH(D180,'Project Summary'!$C$4:$C$63,0)),""))</f>
        <v/>
      </c>
    </row>
    <row r="181" customFormat="false" ht="15" hidden="false" customHeight="false" outlineLevel="0" collapsed="false">
      <c r="A181" s="29"/>
      <c r="B181" s="26"/>
      <c r="C181" s="28"/>
      <c r="D181" s="28"/>
      <c r="E181" s="28"/>
      <c r="F181" s="29"/>
      <c r="G181" s="35"/>
      <c r="H181" s="26"/>
      <c r="I181" s="31" t="str">
        <f aca="false">IF(D181="","",IF(F181="Paid","Yes","No"))</f>
        <v/>
      </c>
      <c r="J181" s="53" t="str">
        <f aca="false">IF(D181="","",IFERROR(INDEX('Project Summary'!$J$4:$J$63,MATCH(D181,'Project Summary'!$C$4:$C$63,0)),""))</f>
        <v/>
      </c>
    </row>
    <row r="182" customFormat="false" ht="15" hidden="false" customHeight="false" outlineLevel="0" collapsed="false">
      <c r="A182" s="29"/>
      <c r="B182" s="26"/>
      <c r="C182" s="28"/>
      <c r="D182" s="28"/>
      <c r="E182" s="28"/>
      <c r="F182" s="29"/>
      <c r="G182" s="35"/>
      <c r="H182" s="26"/>
      <c r="I182" s="23" t="str">
        <f aca="false">IF(D182="","",IF(F182="Paid","Yes","No"))</f>
        <v/>
      </c>
      <c r="J182" s="52" t="str">
        <f aca="false">IF(D182="","",IFERROR(INDEX('Project Summary'!$J$4:$J$63,MATCH(D182,'Project Summary'!$C$4:$C$63,0)),""))</f>
        <v/>
      </c>
    </row>
    <row r="183" customFormat="false" ht="15" hidden="false" customHeight="false" outlineLevel="0" collapsed="false">
      <c r="A183" s="29"/>
      <c r="B183" s="26"/>
      <c r="C183" s="28"/>
      <c r="D183" s="28"/>
      <c r="E183" s="28"/>
      <c r="F183" s="29"/>
      <c r="G183" s="35"/>
      <c r="H183" s="26"/>
      <c r="I183" s="31" t="str">
        <f aca="false">IF(D183="","",IF(F183="Paid","Yes","No"))</f>
        <v/>
      </c>
      <c r="J183" s="53" t="str">
        <f aca="false">IF(D183="","",IFERROR(INDEX('Project Summary'!$J$4:$J$63,MATCH(D183,'Project Summary'!$C$4:$C$63,0)),""))</f>
        <v/>
      </c>
    </row>
    <row r="184" customFormat="false" ht="15" hidden="false" customHeight="false" outlineLevel="0" collapsed="false">
      <c r="A184" s="29"/>
      <c r="B184" s="26"/>
      <c r="C184" s="28"/>
      <c r="D184" s="28"/>
      <c r="E184" s="28"/>
      <c r="F184" s="29"/>
      <c r="G184" s="35"/>
      <c r="H184" s="26"/>
      <c r="I184" s="23" t="str">
        <f aca="false">IF(D184="","",IF(F184="Paid","Yes","No"))</f>
        <v/>
      </c>
      <c r="J184" s="52" t="str">
        <f aca="false">IF(D184="","",IFERROR(INDEX('Project Summary'!$J$4:$J$63,MATCH(D184,'Project Summary'!$C$4:$C$63,0)),""))</f>
        <v/>
      </c>
    </row>
    <row r="185" customFormat="false" ht="15" hidden="false" customHeight="false" outlineLevel="0" collapsed="false">
      <c r="A185" s="29"/>
      <c r="B185" s="26"/>
      <c r="C185" s="28"/>
      <c r="D185" s="28"/>
      <c r="E185" s="28"/>
      <c r="F185" s="29"/>
      <c r="G185" s="35"/>
      <c r="H185" s="26"/>
      <c r="I185" s="31" t="str">
        <f aca="false">IF(D185="","",IF(F185="Paid","Yes","No"))</f>
        <v/>
      </c>
      <c r="J185" s="53" t="str">
        <f aca="false">IF(D185="","",IFERROR(INDEX('Project Summary'!$J$4:$J$63,MATCH(D185,'Project Summary'!$C$4:$C$63,0)),""))</f>
        <v/>
      </c>
    </row>
    <row r="186" customFormat="false" ht="15" hidden="false" customHeight="false" outlineLevel="0" collapsed="false">
      <c r="A186" s="29"/>
      <c r="B186" s="26"/>
      <c r="C186" s="28"/>
      <c r="D186" s="28"/>
      <c r="E186" s="28"/>
      <c r="F186" s="29"/>
      <c r="G186" s="35"/>
      <c r="H186" s="26"/>
      <c r="I186" s="23" t="str">
        <f aca="false">IF(D186="","",IF(F186="Paid","Yes","No"))</f>
        <v/>
      </c>
      <c r="J186" s="52" t="str">
        <f aca="false">IF(D186="","",IFERROR(INDEX('Project Summary'!$J$4:$J$63,MATCH(D186,'Project Summary'!$C$4:$C$63,0)),""))</f>
        <v/>
      </c>
    </row>
    <row r="187" customFormat="false" ht="15" hidden="false" customHeight="false" outlineLevel="0" collapsed="false">
      <c r="A187" s="29"/>
      <c r="B187" s="26"/>
      <c r="C187" s="28"/>
      <c r="D187" s="28"/>
      <c r="E187" s="28"/>
      <c r="F187" s="29"/>
      <c r="G187" s="35"/>
      <c r="H187" s="26"/>
      <c r="I187" s="31" t="str">
        <f aca="false">IF(D187="","",IF(F187="Paid","Yes","No"))</f>
        <v/>
      </c>
      <c r="J187" s="53" t="str">
        <f aca="false">IF(D187="","",IFERROR(INDEX('Project Summary'!$J$4:$J$63,MATCH(D187,'Project Summary'!$C$4:$C$63,0)),""))</f>
        <v/>
      </c>
    </row>
    <row r="188" customFormat="false" ht="15" hidden="false" customHeight="false" outlineLevel="0" collapsed="false">
      <c r="A188" s="29"/>
      <c r="B188" s="26"/>
      <c r="C188" s="28"/>
      <c r="D188" s="28"/>
      <c r="E188" s="28"/>
      <c r="F188" s="29"/>
      <c r="G188" s="35"/>
      <c r="H188" s="26"/>
      <c r="I188" s="23" t="str">
        <f aca="false">IF(D188="","",IF(F188="Paid","Yes","No"))</f>
        <v/>
      </c>
      <c r="J188" s="52" t="str">
        <f aca="false">IF(D188="","",IFERROR(INDEX('Project Summary'!$J$4:$J$63,MATCH(D188,'Project Summary'!$C$4:$C$63,0)),""))</f>
        <v/>
      </c>
    </row>
    <row r="189" customFormat="false" ht="15" hidden="false" customHeight="false" outlineLevel="0" collapsed="false">
      <c r="A189" s="29"/>
      <c r="B189" s="26"/>
      <c r="C189" s="28"/>
      <c r="D189" s="28"/>
      <c r="E189" s="28"/>
      <c r="F189" s="29"/>
      <c r="G189" s="35"/>
      <c r="H189" s="26"/>
      <c r="I189" s="31" t="str">
        <f aca="false">IF(D189="","",IF(F189="Paid","Yes","No"))</f>
        <v/>
      </c>
      <c r="J189" s="53" t="str">
        <f aca="false">IF(D189="","",IFERROR(INDEX('Project Summary'!$J$4:$J$63,MATCH(D189,'Project Summary'!$C$4:$C$63,0)),""))</f>
        <v/>
      </c>
    </row>
    <row r="190" customFormat="false" ht="15" hidden="false" customHeight="false" outlineLevel="0" collapsed="false">
      <c r="A190" s="29"/>
      <c r="B190" s="26"/>
      <c r="C190" s="28"/>
      <c r="D190" s="28"/>
      <c r="E190" s="28"/>
      <c r="F190" s="29"/>
      <c r="G190" s="35"/>
      <c r="H190" s="26"/>
      <c r="I190" s="23" t="str">
        <f aca="false">IF(D190="","",IF(F190="Paid","Yes","No"))</f>
        <v/>
      </c>
      <c r="J190" s="52" t="str">
        <f aca="false">IF(D190="","",IFERROR(INDEX('Project Summary'!$J$4:$J$63,MATCH(D190,'Project Summary'!$C$4:$C$63,0)),""))</f>
        <v/>
      </c>
    </row>
    <row r="191" customFormat="false" ht="15" hidden="false" customHeight="false" outlineLevel="0" collapsed="false">
      <c r="A191" s="29"/>
      <c r="B191" s="26"/>
      <c r="C191" s="28"/>
      <c r="D191" s="28"/>
      <c r="E191" s="28"/>
      <c r="F191" s="29"/>
      <c r="G191" s="35"/>
      <c r="H191" s="26"/>
      <c r="I191" s="31" t="str">
        <f aca="false">IF(D191="","",IF(F191="Paid","Yes","No"))</f>
        <v/>
      </c>
      <c r="J191" s="53" t="str">
        <f aca="false">IF(D191="","",IFERROR(INDEX('Project Summary'!$J$4:$J$63,MATCH(D191,'Project Summary'!$C$4:$C$63,0)),""))</f>
        <v/>
      </c>
    </row>
    <row r="192" customFormat="false" ht="15" hidden="false" customHeight="false" outlineLevel="0" collapsed="false">
      <c r="A192" s="29"/>
      <c r="B192" s="26"/>
      <c r="C192" s="28"/>
      <c r="D192" s="28"/>
      <c r="E192" s="28"/>
      <c r="F192" s="29"/>
      <c r="G192" s="35"/>
      <c r="H192" s="26"/>
      <c r="I192" s="23" t="str">
        <f aca="false">IF(D192="","",IF(F192="Paid","Yes","No"))</f>
        <v/>
      </c>
      <c r="J192" s="52" t="str">
        <f aca="false">IF(D192="","",IFERROR(INDEX('Project Summary'!$J$4:$J$63,MATCH(D192,'Project Summary'!$C$4:$C$63,0)),""))</f>
        <v/>
      </c>
    </row>
    <row r="193" customFormat="false" ht="15" hidden="false" customHeight="false" outlineLevel="0" collapsed="false">
      <c r="A193" s="29"/>
      <c r="B193" s="26"/>
      <c r="C193" s="28"/>
      <c r="D193" s="28"/>
      <c r="E193" s="28"/>
      <c r="F193" s="29"/>
      <c r="G193" s="35"/>
      <c r="H193" s="26"/>
      <c r="I193" s="31" t="str">
        <f aca="false">IF(D193="","",IF(F193="Paid","Yes","No"))</f>
        <v/>
      </c>
      <c r="J193" s="53" t="str">
        <f aca="false">IF(D193="","",IFERROR(INDEX('Project Summary'!$J$4:$J$63,MATCH(D193,'Project Summary'!$C$4:$C$63,0)),""))</f>
        <v/>
      </c>
    </row>
    <row r="194" customFormat="false" ht="15" hidden="false" customHeight="false" outlineLevel="0" collapsed="false">
      <c r="A194" s="29"/>
      <c r="B194" s="26"/>
      <c r="C194" s="28"/>
      <c r="D194" s="28"/>
      <c r="E194" s="28"/>
      <c r="F194" s="29"/>
      <c r="G194" s="35"/>
      <c r="H194" s="26"/>
      <c r="I194" s="23" t="str">
        <f aca="false">IF(D194="","",IF(F194="Paid","Yes","No"))</f>
        <v/>
      </c>
      <c r="J194" s="52" t="str">
        <f aca="false">IF(D194="","",IFERROR(INDEX('Project Summary'!$J$4:$J$63,MATCH(D194,'Project Summary'!$C$4:$C$63,0)),""))</f>
        <v/>
      </c>
    </row>
    <row r="195" customFormat="false" ht="15" hidden="false" customHeight="false" outlineLevel="0" collapsed="false">
      <c r="A195" s="29"/>
      <c r="B195" s="26"/>
      <c r="C195" s="28"/>
      <c r="D195" s="28"/>
      <c r="E195" s="28"/>
      <c r="F195" s="29"/>
      <c r="G195" s="35"/>
      <c r="H195" s="26"/>
      <c r="I195" s="31" t="str">
        <f aca="false">IF(D195="","",IF(F195="Paid","Yes","No"))</f>
        <v/>
      </c>
      <c r="J195" s="53" t="str">
        <f aca="false">IF(D195="","",IFERROR(INDEX('Project Summary'!$J$4:$J$63,MATCH(D195,'Project Summary'!$C$4:$C$63,0)),""))</f>
        <v/>
      </c>
    </row>
    <row r="196" customFormat="false" ht="15" hidden="false" customHeight="false" outlineLevel="0" collapsed="false">
      <c r="A196" s="29"/>
      <c r="B196" s="26"/>
      <c r="C196" s="28"/>
      <c r="D196" s="28"/>
      <c r="E196" s="28"/>
      <c r="F196" s="29"/>
      <c r="G196" s="35"/>
      <c r="H196" s="26"/>
      <c r="I196" s="23" t="str">
        <f aca="false">IF(D196="","",IF(F196="Paid","Yes","No"))</f>
        <v/>
      </c>
      <c r="J196" s="52" t="str">
        <f aca="false">IF(D196="","",IFERROR(INDEX('Project Summary'!$J$4:$J$63,MATCH(D196,'Project Summary'!$C$4:$C$63,0)),""))</f>
        <v/>
      </c>
    </row>
    <row r="197" customFormat="false" ht="15" hidden="false" customHeight="false" outlineLevel="0" collapsed="false">
      <c r="A197" s="29"/>
      <c r="B197" s="26"/>
      <c r="C197" s="28"/>
      <c r="D197" s="28"/>
      <c r="E197" s="28"/>
      <c r="F197" s="29"/>
      <c r="G197" s="35"/>
      <c r="H197" s="26"/>
      <c r="I197" s="31" t="str">
        <f aca="false">IF(D197="","",IF(F197="Paid","Yes","No"))</f>
        <v/>
      </c>
      <c r="J197" s="53" t="str">
        <f aca="false">IF(D197="","",IFERROR(INDEX('Project Summary'!$J$4:$J$63,MATCH(D197,'Project Summary'!$C$4:$C$63,0)),""))</f>
        <v/>
      </c>
    </row>
    <row r="198" customFormat="false" ht="15" hidden="false" customHeight="false" outlineLevel="0" collapsed="false">
      <c r="A198" s="29"/>
      <c r="B198" s="26"/>
      <c r="C198" s="28"/>
      <c r="D198" s="28"/>
      <c r="E198" s="28"/>
      <c r="F198" s="29"/>
      <c r="G198" s="35"/>
      <c r="H198" s="26"/>
      <c r="I198" s="23" t="str">
        <f aca="false">IF(D198="","",IF(F198="Paid","Yes","No"))</f>
        <v/>
      </c>
      <c r="J198" s="52" t="str">
        <f aca="false">IF(D198="","",IFERROR(INDEX('Project Summary'!$J$4:$J$63,MATCH(D198,'Project Summary'!$C$4:$C$63,0)),""))</f>
        <v/>
      </c>
    </row>
    <row r="199" customFormat="false" ht="15" hidden="false" customHeight="false" outlineLevel="0" collapsed="false">
      <c r="A199" s="29"/>
      <c r="B199" s="26"/>
      <c r="C199" s="28"/>
      <c r="D199" s="28"/>
      <c r="E199" s="28"/>
      <c r="F199" s="29"/>
      <c r="G199" s="35"/>
      <c r="H199" s="26"/>
      <c r="I199" s="31" t="str">
        <f aca="false">IF(D199="","",IF(F199="Paid","Yes","No"))</f>
        <v/>
      </c>
      <c r="J199" s="53" t="str">
        <f aca="false">IF(D199="","",IFERROR(INDEX('Project Summary'!$J$4:$J$63,MATCH(D199,'Project Summary'!$C$4:$C$63,0)),""))</f>
        <v/>
      </c>
    </row>
    <row r="200" customFormat="false" ht="15" hidden="false" customHeight="false" outlineLevel="0" collapsed="false">
      <c r="A200" s="29"/>
      <c r="B200" s="26"/>
      <c r="C200" s="28"/>
      <c r="D200" s="28"/>
      <c r="E200" s="28"/>
      <c r="F200" s="29"/>
      <c r="G200" s="35"/>
      <c r="H200" s="26"/>
      <c r="I200" s="23" t="str">
        <f aca="false">IF(D200="","",IF(F200="Paid","Yes","No"))</f>
        <v/>
      </c>
      <c r="J200" s="52" t="str">
        <f aca="false">IF(D200="","",IFERROR(INDEX('Project Summary'!$J$4:$J$63,MATCH(D200,'Project Summary'!$C$4:$C$63,0)),""))</f>
        <v/>
      </c>
    </row>
    <row r="201" customFormat="false" ht="15" hidden="false" customHeight="false" outlineLevel="0" collapsed="false">
      <c r="A201" s="29"/>
      <c r="B201" s="26"/>
      <c r="C201" s="28"/>
      <c r="D201" s="28"/>
      <c r="E201" s="28"/>
      <c r="F201" s="29"/>
      <c r="G201" s="35"/>
      <c r="H201" s="26"/>
      <c r="I201" s="31" t="str">
        <f aca="false">IF(D201="","",IF(F201="Paid","Yes","No"))</f>
        <v/>
      </c>
      <c r="J201" s="53" t="str">
        <f aca="false">IF(D201="","",IFERROR(INDEX('Project Summary'!$J$4:$J$63,MATCH(D201,'Project Summary'!$C$4:$C$63,0)),""))</f>
        <v/>
      </c>
    </row>
    <row r="202" customFormat="false" ht="15" hidden="false" customHeight="false" outlineLevel="0" collapsed="false">
      <c r="A202" s="29"/>
      <c r="B202" s="26"/>
      <c r="C202" s="28"/>
      <c r="D202" s="28"/>
      <c r="E202" s="28"/>
      <c r="F202" s="29"/>
      <c r="G202" s="35"/>
      <c r="H202" s="26"/>
      <c r="I202" s="23" t="str">
        <f aca="false">IF(D202="","",IF(F202="Paid","Yes","No"))</f>
        <v/>
      </c>
      <c r="J202" s="52" t="str">
        <f aca="false">IF(D202="","",IFERROR(INDEX('Project Summary'!$J$4:$J$63,MATCH(D202,'Project Summary'!$C$4:$C$63,0)),""))</f>
        <v/>
      </c>
    </row>
    <row r="203" customFormat="false" ht="15" hidden="false" customHeight="false" outlineLevel="0" collapsed="false">
      <c r="A203" s="29"/>
      <c r="B203" s="26"/>
      <c r="C203" s="28"/>
      <c r="D203" s="28"/>
      <c r="E203" s="28"/>
      <c r="F203" s="29"/>
      <c r="G203" s="35"/>
      <c r="H203" s="26"/>
      <c r="I203" s="31" t="str">
        <f aca="false">IF(D203="","",IF(F203="Paid","Yes","No"))</f>
        <v/>
      </c>
      <c r="J203" s="53" t="str">
        <f aca="false">IF(D203="","",IFERROR(INDEX('Project Summary'!$J$4:$J$63,MATCH(D203,'Project Summary'!$C$4:$C$63,0)),""))</f>
        <v/>
      </c>
    </row>
    <row r="204" customFormat="false" ht="15" hidden="false" customHeight="false" outlineLevel="0" collapsed="false">
      <c r="E204" s="49" t="s">
        <v>137</v>
      </c>
      <c r="F204" s="55"/>
      <c r="G204" s="51" t="n">
        <f aca="false">SUM(G4:G203)</f>
        <v>900</v>
      </c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F4:F203" type="list">
      <formula1>Lists!$G$2:$G$5</formula1>
      <formula2>0</formula2>
    </dataValidation>
    <dataValidation allowBlank="true" errorStyle="stop" operator="between" showDropDown="false" showErrorMessage="false" showInputMessage="false" sqref="D4:D203" type="list">
      <formula1>Projects!$C$4:$C$63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56" t="s">
        <v>138</v>
      </c>
      <c r="B1" s="56" t="s">
        <v>139</v>
      </c>
      <c r="C1" s="56" t="s">
        <v>140</v>
      </c>
      <c r="F1" s="56" t="s">
        <v>141</v>
      </c>
      <c r="G1" s="56" t="s">
        <v>142</v>
      </c>
      <c r="H1" s="56" t="s">
        <v>143</v>
      </c>
    </row>
    <row r="2" customFormat="false" ht="15" hidden="false" customHeight="false" outlineLevel="0" collapsed="false">
      <c r="A2" s="0" t="str">
        <f aca="false">IF(Projects!$C$4="","",Projects!$C$4)</f>
        <v>Handlebar Control Module Redesign</v>
      </c>
      <c r="B2" s="0" t="str">
        <f aca="false">IF(Projects!$C$4="","","Project")</f>
        <v>Project</v>
      </c>
      <c r="C2" s="0" t="str">
        <f aca="false">IF(Projects!$C$4="","","Yes")</f>
        <v>Yes</v>
      </c>
      <c r="F2" s="0" t="s">
        <v>50</v>
      </c>
      <c r="G2" s="0" t="s">
        <v>136</v>
      </c>
      <c r="H2" s="0" t="s">
        <v>66</v>
      </c>
    </row>
    <row r="3" customFormat="false" ht="15" hidden="false" customHeight="false" outlineLevel="0" collapsed="false">
      <c r="A3" s="0" t="str">
        <f aca="false">IF(Projects!$C$5="","",Projects!$C$5)</f>
        <v/>
      </c>
      <c r="B3" s="0" t="str">
        <f aca="false">IF(Projects!$C$5="","","Project")</f>
        <v/>
      </c>
      <c r="C3" s="0" t="str">
        <f aca="false">IF(Projects!$C$5="","","Yes")</f>
        <v/>
      </c>
      <c r="F3" s="0" t="s">
        <v>144</v>
      </c>
      <c r="G3" s="0" t="s">
        <v>145</v>
      </c>
      <c r="H3" s="0" t="s">
        <v>146</v>
      </c>
    </row>
    <row r="4" customFormat="false" ht="15" hidden="false" customHeight="false" outlineLevel="0" collapsed="false">
      <c r="A4" s="0" t="str">
        <f aca="false">IF(Projects!$C$6="","",Projects!$C$6)</f>
        <v/>
      </c>
      <c r="B4" s="0" t="str">
        <f aca="false">IF(Projects!$C$6="","","Project")</f>
        <v/>
      </c>
      <c r="C4" s="0" t="str">
        <f aca="false">IF(Projects!$C$6="","","Yes")</f>
        <v/>
      </c>
      <c r="G4" s="0" t="s">
        <v>147</v>
      </c>
      <c r="H4" s="0" t="s">
        <v>148</v>
      </c>
    </row>
    <row r="5" customFormat="false" ht="15" hidden="false" customHeight="false" outlineLevel="0" collapsed="false">
      <c r="A5" s="0" t="str">
        <f aca="false">IF(Projects!$C$7="","",Projects!$C$7)</f>
        <v/>
      </c>
      <c r="B5" s="0" t="str">
        <f aca="false">IF(Projects!$C$7="","","Project")</f>
        <v/>
      </c>
      <c r="C5" s="0" t="str">
        <f aca="false">IF(Projects!$C$7="","","Yes")</f>
        <v/>
      </c>
      <c r="G5" s="0" t="s">
        <v>149</v>
      </c>
      <c r="H5" s="0" t="s">
        <v>150</v>
      </c>
    </row>
    <row r="6" customFormat="false" ht="15" hidden="false" customHeight="false" outlineLevel="0" collapsed="false">
      <c r="A6" s="0" t="str">
        <f aca="false">IF(Projects!$C$8="","",Projects!$C$8)</f>
        <v/>
      </c>
      <c r="B6" s="0" t="str">
        <f aca="false">IF(Projects!$C$8="","","Project")</f>
        <v/>
      </c>
      <c r="C6" s="0" t="str">
        <f aca="false">IF(Projects!$C$8="","","Yes")</f>
        <v/>
      </c>
      <c r="H6" s="0" t="s">
        <v>151</v>
      </c>
    </row>
    <row r="7" customFormat="false" ht="15" hidden="false" customHeight="false" outlineLevel="0" collapsed="false">
      <c r="A7" s="0" t="str">
        <f aca="false">IF(Projects!$C$9="","",Projects!$C$9)</f>
        <v/>
      </c>
      <c r="B7" s="0" t="str">
        <f aca="false">IF(Projects!$C$9="","","Project")</f>
        <v/>
      </c>
      <c r="C7" s="0" t="str">
        <f aca="false">IF(Projects!$C$9="","","Yes")</f>
        <v/>
      </c>
    </row>
    <row r="8" customFormat="false" ht="15" hidden="false" customHeight="false" outlineLevel="0" collapsed="false">
      <c r="A8" s="0" t="str">
        <f aca="false">IF(Projects!$C$10="","",Projects!$C$10)</f>
        <v/>
      </c>
      <c r="B8" s="0" t="str">
        <f aca="false">IF(Projects!$C$10="","","Project")</f>
        <v/>
      </c>
      <c r="C8" s="0" t="str">
        <f aca="false">IF(Projects!$C$10="","","Yes")</f>
        <v/>
      </c>
    </row>
    <row r="9" customFormat="false" ht="15" hidden="false" customHeight="false" outlineLevel="0" collapsed="false">
      <c r="A9" s="0" t="str">
        <f aca="false">IF(Projects!$C$11="","",Projects!$C$11)</f>
        <v/>
      </c>
      <c r="B9" s="0" t="str">
        <f aca="false">IF(Projects!$C$11="","","Project")</f>
        <v/>
      </c>
      <c r="C9" s="0" t="str">
        <f aca="false">IF(Projects!$C$11="","","Yes")</f>
        <v/>
      </c>
    </row>
    <row r="10" customFormat="false" ht="15" hidden="false" customHeight="false" outlineLevel="0" collapsed="false">
      <c r="A10" s="0" t="str">
        <f aca="false">IF(Projects!$C$12="","",Projects!$C$12)</f>
        <v/>
      </c>
      <c r="B10" s="0" t="str">
        <f aca="false">IF(Projects!$C$12="","","Project")</f>
        <v/>
      </c>
      <c r="C10" s="0" t="str">
        <f aca="false">IF(Projects!$C$12="","","Yes")</f>
        <v/>
      </c>
    </row>
    <row r="11" customFormat="false" ht="15" hidden="false" customHeight="false" outlineLevel="0" collapsed="false">
      <c r="A11" s="0" t="str">
        <f aca="false">IF(Projects!$C$13="","",Projects!$C$13)</f>
        <v/>
      </c>
      <c r="B11" s="0" t="str">
        <f aca="false">IF(Projects!$C$13="","","Project")</f>
        <v/>
      </c>
      <c r="C11" s="0" t="str">
        <f aca="false">IF(Projects!$C$13="","","Yes")</f>
        <v/>
      </c>
    </row>
    <row r="12" customFormat="false" ht="15" hidden="false" customHeight="false" outlineLevel="0" collapsed="false">
      <c r="A12" s="0" t="str">
        <f aca="false">IF(Projects!$C$14="","",Projects!$C$14)</f>
        <v/>
      </c>
      <c r="B12" s="0" t="str">
        <f aca="false">IF(Projects!$C$14="","","Project")</f>
        <v/>
      </c>
      <c r="C12" s="0" t="str">
        <f aca="false">IF(Projects!$C$14="","","Yes")</f>
        <v/>
      </c>
    </row>
    <row r="13" customFormat="false" ht="15" hidden="false" customHeight="false" outlineLevel="0" collapsed="false">
      <c r="A13" s="0" t="str">
        <f aca="false">IF(Projects!$C$15="","",Projects!$C$15)</f>
        <v/>
      </c>
      <c r="B13" s="0" t="str">
        <f aca="false">IF(Projects!$C$15="","","Project")</f>
        <v/>
      </c>
      <c r="C13" s="0" t="str">
        <f aca="false">IF(Projects!$C$15="","","Yes")</f>
        <v/>
      </c>
    </row>
    <row r="14" customFormat="false" ht="15" hidden="false" customHeight="false" outlineLevel="0" collapsed="false">
      <c r="A14" s="0" t="str">
        <f aca="false">IF(Projects!$C$16="","",Projects!$C$16)</f>
        <v/>
      </c>
      <c r="B14" s="0" t="str">
        <f aca="false">IF(Projects!$C$16="","","Project")</f>
        <v/>
      </c>
      <c r="C14" s="0" t="str">
        <f aca="false">IF(Projects!$C$16="","","Yes")</f>
        <v/>
      </c>
    </row>
    <row r="15" customFormat="false" ht="15" hidden="false" customHeight="false" outlineLevel="0" collapsed="false">
      <c r="A15" s="0" t="str">
        <f aca="false">IF(Projects!$C$17="","",Projects!$C$17)</f>
        <v/>
      </c>
      <c r="B15" s="0" t="str">
        <f aca="false">IF(Projects!$C$17="","","Project")</f>
        <v/>
      </c>
      <c r="C15" s="0" t="str">
        <f aca="false">IF(Projects!$C$17="","","Yes")</f>
        <v/>
      </c>
    </row>
    <row r="16" customFormat="false" ht="15" hidden="false" customHeight="false" outlineLevel="0" collapsed="false">
      <c r="A16" s="0" t="str">
        <f aca="false">IF(Projects!$C$18="","",Projects!$C$18)</f>
        <v/>
      </c>
      <c r="B16" s="0" t="str">
        <f aca="false">IF(Projects!$C$18="","","Project")</f>
        <v/>
      </c>
      <c r="C16" s="0" t="str">
        <f aca="false">IF(Projects!$C$18="","","Yes")</f>
        <v/>
      </c>
    </row>
    <row r="17" customFormat="false" ht="15" hidden="false" customHeight="false" outlineLevel="0" collapsed="false">
      <c r="A17" s="0" t="str">
        <f aca="false">IF(Projects!$C$19="","",Projects!$C$19)</f>
        <v/>
      </c>
      <c r="B17" s="0" t="str">
        <f aca="false">IF(Projects!$C$19="","","Project")</f>
        <v/>
      </c>
      <c r="C17" s="0" t="str">
        <f aca="false">IF(Projects!$C$19="","","Yes")</f>
        <v/>
      </c>
    </row>
    <row r="18" customFormat="false" ht="15" hidden="false" customHeight="false" outlineLevel="0" collapsed="false">
      <c r="A18" s="0" t="str">
        <f aca="false">IF(Projects!$C$20="","",Projects!$C$20)</f>
        <v/>
      </c>
      <c r="B18" s="0" t="str">
        <f aca="false">IF(Projects!$C$20="","","Project")</f>
        <v/>
      </c>
      <c r="C18" s="0" t="str">
        <f aca="false">IF(Projects!$C$20="","","Yes")</f>
        <v/>
      </c>
    </row>
    <row r="19" customFormat="false" ht="15" hidden="false" customHeight="false" outlineLevel="0" collapsed="false">
      <c r="A19" s="0" t="str">
        <f aca="false">IF(Projects!$C$21="","",Projects!$C$21)</f>
        <v/>
      </c>
      <c r="B19" s="0" t="str">
        <f aca="false">IF(Projects!$C$21="","","Project")</f>
        <v/>
      </c>
      <c r="C19" s="0" t="str">
        <f aca="false">IF(Projects!$C$21="","","Yes")</f>
        <v/>
      </c>
    </row>
    <row r="20" customFormat="false" ht="15" hidden="false" customHeight="false" outlineLevel="0" collapsed="false">
      <c r="A20" s="0" t="str">
        <f aca="false">IF(Projects!$C$22="","",Projects!$C$22)</f>
        <v/>
      </c>
      <c r="B20" s="0" t="str">
        <f aca="false">IF(Projects!$C$22="","","Project")</f>
        <v/>
      </c>
      <c r="C20" s="0" t="str">
        <f aca="false">IF(Projects!$C$22="","","Yes")</f>
        <v/>
      </c>
    </row>
    <row r="21" customFormat="false" ht="15" hidden="false" customHeight="false" outlineLevel="0" collapsed="false">
      <c r="A21" s="0" t="str">
        <f aca="false">IF(Projects!$C$23="","",Projects!$C$23)</f>
        <v/>
      </c>
      <c r="B21" s="0" t="str">
        <f aca="false">IF(Projects!$C$23="","","Project")</f>
        <v/>
      </c>
      <c r="C21" s="0" t="str">
        <f aca="false">IF(Projects!$C$23="","","Yes")</f>
        <v/>
      </c>
    </row>
    <row r="22" customFormat="false" ht="15" hidden="false" customHeight="false" outlineLevel="0" collapsed="false">
      <c r="A22" s="0" t="str">
        <f aca="false">IF(Projects!$C$24="","",Projects!$C$24)</f>
        <v/>
      </c>
      <c r="B22" s="0" t="str">
        <f aca="false">IF(Projects!$C$24="","","Project")</f>
        <v/>
      </c>
      <c r="C22" s="0" t="str">
        <f aca="false">IF(Projects!$C$24="","","Yes")</f>
        <v/>
      </c>
    </row>
    <row r="23" customFormat="false" ht="15" hidden="false" customHeight="false" outlineLevel="0" collapsed="false">
      <c r="A23" s="0" t="str">
        <f aca="false">IF(Projects!$C$25="","",Projects!$C$25)</f>
        <v/>
      </c>
      <c r="B23" s="0" t="str">
        <f aca="false">IF(Projects!$C$25="","","Project")</f>
        <v/>
      </c>
      <c r="C23" s="0" t="str">
        <f aca="false">IF(Projects!$C$25="","","Yes")</f>
        <v/>
      </c>
    </row>
    <row r="24" customFormat="false" ht="15" hidden="false" customHeight="false" outlineLevel="0" collapsed="false">
      <c r="A24" s="0" t="str">
        <f aca="false">IF(Projects!$C$26="","",Projects!$C$26)</f>
        <v/>
      </c>
      <c r="B24" s="0" t="str">
        <f aca="false">IF(Projects!$C$26="","","Project")</f>
        <v/>
      </c>
      <c r="C24" s="0" t="str">
        <f aca="false">IF(Projects!$C$26="","","Yes")</f>
        <v/>
      </c>
    </row>
    <row r="25" customFormat="false" ht="15" hidden="false" customHeight="false" outlineLevel="0" collapsed="false">
      <c r="A25" s="0" t="str">
        <f aca="false">IF(Projects!$C$27="","",Projects!$C$27)</f>
        <v/>
      </c>
      <c r="B25" s="0" t="str">
        <f aca="false">IF(Projects!$C$27="","","Project")</f>
        <v/>
      </c>
      <c r="C25" s="0" t="str">
        <f aca="false">IF(Projects!$C$27="","","Yes")</f>
        <v/>
      </c>
    </row>
    <row r="26" customFormat="false" ht="15" hidden="false" customHeight="false" outlineLevel="0" collapsed="false">
      <c r="A26" s="0" t="str">
        <f aca="false">IF(Projects!$C$28="","",Projects!$C$28)</f>
        <v/>
      </c>
      <c r="B26" s="0" t="str">
        <f aca="false">IF(Projects!$C$28="","","Project")</f>
        <v/>
      </c>
      <c r="C26" s="0" t="str">
        <f aca="false">IF(Projects!$C$28="","","Yes")</f>
        <v/>
      </c>
    </row>
    <row r="27" customFormat="false" ht="15" hidden="false" customHeight="false" outlineLevel="0" collapsed="false">
      <c r="A27" s="0" t="str">
        <f aca="false">IF(Projects!$C$29="","",Projects!$C$29)</f>
        <v/>
      </c>
      <c r="B27" s="0" t="str">
        <f aca="false">IF(Projects!$C$29="","","Project")</f>
        <v/>
      </c>
      <c r="C27" s="0" t="str">
        <f aca="false">IF(Projects!$C$29="","","Yes")</f>
        <v/>
      </c>
    </row>
    <row r="28" customFormat="false" ht="15" hidden="false" customHeight="false" outlineLevel="0" collapsed="false">
      <c r="A28" s="0" t="str">
        <f aca="false">IF(Projects!$C$30="","",Projects!$C$30)</f>
        <v/>
      </c>
      <c r="B28" s="0" t="str">
        <f aca="false">IF(Projects!$C$30="","","Project")</f>
        <v/>
      </c>
      <c r="C28" s="0" t="str">
        <f aca="false">IF(Projects!$C$30="","","Yes")</f>
        <v/>
      </c>
    </row>
    <row r="29" customFormat="false" ht="15" hidden="false" customHeight="false" outlineLevel="0" collapsed="false">
      <c r="A29" s="0" t="str">
        <f aca="false">IF(Projects!$C$31="","",Projects!$C$31)</f>
        <v/>
      </c>
      <c r="B29" s="0" t="str">
        <f aca="false">IF(Projects!$C$31="","","Project")</f>
        <v/>
      </c>
      <c r="C29" s="0" t="str">
        <f aca="false">IF(Projects!$C$31="","","Yes")</f>
        <v/>
      </c>
    </row>
    <row r="30" customFormat="false" ht="15" hidden="false" customHeight="false" outlineLevel="0" collapsed="false">
      <c r="A30" s="0" t="str">
        <f aca="false">IF(Projects!$C$32="","",Projects!$C$32)</f>
        <v/>
      </c>
      <c r="B30" s="0" t="str">
        <f aca="false">IF(Projects!$C$32="","","Project")</f>
        <v/>
      </c>
      <c r="C30" s="0" t="str">
        <f aca="false">IF(Projects!$C$32="","","Yes")</f>
        <v/>
      </c>
    </row>
    <row r="31" customFormat="false" ht="15" hidden="false" customHeight="false" outlineLevel="0" collapsed="false">
      <c r="A31" s="0" t="str">
        <f aca="false">IF(Projects!$C$33="","",Projects!$C$33)</f>
        <v/>
      </c>
      <c r="B31" s="0" t="str">
        <f aca="false">IF(Projects!$C$33="","","Project")</f>
        <v/>
      </c>
      <c r="C31" s="0" t="str">
        <f aca="false">IF(Projects!$C$33="","","Yes")</f>
        <v/>
      </c>
    </row>
    <row r="32" customFormat="false" ht="15" hidden="false" customHeight="false" outlineLevel="0" collapsed="false">
      <c r="A32" s="0" t="str">
        <f aca="false">IF(Projects!$C$34="","",Projects!$C$34)</f>
        <v/>
      </c>
      <c r="B32" s="0" t="str">
        <f aca="false">IF(Projects!$C$34="","","Project")</f>
        <v/>
      </c>
      <c r="C32" s="0" t="str">
        <f aca="false">IF(Projects!$C$34="","","Yes")</f>
        <v/>
      </c>
    </row>
    <row r="33" customFormat="false" ht="15" hidden="false" customHeight="false" outlineLevel="0" collapsed="false">
      <c r="A33" s="0" t="str">
        <f aca="false">IF(Projects!$C$35="","",Projects!$C$35)</f>
        <v/>
      </c>
      <c r="B33" s="0" t="str">
        <f aca="false">IF(Projects!$C$35="","","Project")</f>
        <v/>
      </c>
      <c r="C33" s="0" t="str">
        <f aca="false">IF(Projects!$C$35="","","Yes")</f>
        <v/>
      </c>
    </row>
    <row r="34" customFormat="false" ht="15" hidden="false" customHeight="false" outlineLevel="0" collapsed="false">
      <c r="A34" s="0" t="str">
        <f aca="false">IF(Projects!$C$36="","",Projects!$C$36)</f>
        <v/>
      </c>
      <c r="B34" s="0" t="str">
        <f aca="false">IF(Projects!$C$36="","","Project")</f>
        <v/>
      </c>
      <c r="C34" s="0" t="str">
        <f aca="false">IF(Projects!$C$36="","","Yes")</f>
        <v/>
      </c>
    </row>
    <row r="35" customFormat="false" ht="15" hidden="false" customHeight="false" outlineLevel="0" collapsed="false">
      <c r="A35" s="0" t="str">
        <f aca="false">IF(Projects!$C$37="","",Projects!$C$37)</f>
        <v/>
      </c>
      <c r="B35" s="0" t="str">
        <f aca="false">IF(Projects!$C$37="","","Project")</f>
        <v/>
      </c>
      <c r="C35" s="0" t="str">
        <f aca="false">IF(Projects!$C$37="","","Yes")</f>
        <v/>
      </c>
    </row>
    <row r="36" customFormat="false" ht="15" hidden="false" customHeight="false" outlineLevel="0" collapsed="false">
      <c r="A36" s="0" t="str">
        <f aca="false">IF(Projects!$C$38="","",Projects!$C$38)</f>
        <v/>
      </c>
      <c r="B36" s="0" t="str">
        <f aca="false">IF(Projects!$C$38="","","Project")</f>
        <v/>
      </c>
      <c r="C36" s="0" t="str">
        <f aca="false">IF(Projects!$C$38="","","Yes")</f>
        <v/>
      </c>
    </row>
    <row r="37" customFormat="false" ht="15" hidden="false" customHeight="false" outlineLevel="0" collapsed="false">
      <c r="A37" s="0" t="str">
        <f aca="false">IF(Projects!$C$39="","",Projects!$C$39)</f>
        <v/>
      </c>
      <c r="B37" s="0" t="str">
        <f aca="false">IF(Projects!$C$39="","","Project")</f>
        <v/>
      </c>
      <c r="C37" s="0" t="str">
        <f aca="false">IF(Projects!$C$39="","","Yes")</f>
        <v/>
      </c>
    </row>
    <row r="38" customFormat="false" ht="15" hidden="false" customHeight="false" outlineLevel="0" collapsed="false">
      <c r="A38" s="0" t="str">
        <f aca="false">IF(Projects!$C$40="","",Projects!$C$40)</f>
        <v/>
      </c>
      <c r="B38" s="0" t="str">
        <f aca="false">IF(Projects!$C$40="","","Project")</f>
        <v/>
      </c>
      <c r="C38" s="0" t="str">
        <f aca="false">IF(Projects!$C$40="","","Yes")</f>
        <v/>
      </c>
    </row>
    <row r="39" customFormat="false" ht="15" hidden="false" customHeight="false" outlineLevel="0" collapsed="false">
      <c r="A39" s="0" t="str">
        <f aca="false">IF(Projects!$C$41="","",Projects!$C$41)</f>
        <v/>
      </c>
      <c r="B39" s="0" t="str">
        <f aca="false">IF(Projects!$C$41="","","Project")</f>
        <v/>
      </c>
      <c r="C39" s="0" t="str">
        <f aca="false">IF(Projects!$C$41="","","Yes")</f>
        <v/>
      </c>
    </row>
    <row r="40" customFormat="false" ht="15" hidden="false" customHeight="false" outlineLevel="0" collapsed="false">
      <c r="A40" s="0" t="str">
        <f aca="false">IF(Projects!$C$42="","",Projects!$C$42)</f>
        <v/>
      </c>
      <c r="B40" s="0" t="str">
        <f aca="false">IF(Projects!$C$42="","","Project")</f>
        <v/>
      </c>
      <c r="C40" s="0" t="str">
        <f aca="false">IF(Projects!$C$42="","","Yes")</f>
        <v/>
      </c>
    </row>
    <row r="41" customFormat="false" ht="15" hidden="false" customHeight="false" outlineLevel="0" collapsed="false">
      <c r="A41" s="0" t="str">
        <f aca="false">IF(Projects!$C$43="","",Projects!$C$43)</f>
        <v/>
      </c>
      <c r="B41" s="0" t="str">
        <f aca="false">IF(Projects!$C$43="","","Project")</f>
        <v/>
      </c>
      <c r="C41" s="0" t="str">
        <f aca="false">IF(Projects!$C$43="","","Yes")</f>
        <v/>
      </c>
    </row>
    <row r="42" customFormat="false" ht="15" hidden="false" customHeight="false" outlineLevel="0" collapsed="false">
      <c r="A42" s="0" t="str">
        <f aca="false">IF(Projects!$C$44="","",Projects!$C$44)</f>
        <v/>
      </c>
      <c r="B42" s="0" t="str">
        <f aca="false">IF(Projects!$C$44="","","Project")</f>
        <v/>
      </c>
      <c r="C42" s="0" t="str">
        <f aca="false">IF(Projects!$C$44="","","Yes")</f>
        <v/>
      </c>
    </row>
    <row r="43" customFormat="false" ht="15" hidden="false" customHeight="false" outlineLevel="0" collapsed="false">
      <c r="A43" s="0" t="str">
        <f aca="false">IF(Projects!$C$45="","",Projects!$C$45)</f>
        <v/>
      </c>
      <c r="B43" s="0" t="str">
        <f aca="false">IF(Projects!$C$45="","","Project")</f>
        <v/>
      </c>
      <c r="C43" s="0" t="str">
        <f aca="false">IF(Projects!$C$45="","","Yes")</f>
        <v/>
      </c>
    </row>
    <row r="44" customFormat="false" ht="15" hidden="false" customHeight="false" outlineLevel="0" collapsed="false">
      <c r="A44" s="0" t="str">
        <f aca="false">IF(Projects!$C$46="","",Projects!$C$46)</f>
        <v/>
      </c>
      <c r="B44" s="0" t="str">
        <f aca="false">IF(Projects!$C$46="","","Project")</f>
        <v/>
      </c>
      <c r="C44" s="0" t="str">
        <f aca="false">IF(Projects!$C$46="","","Yes")</f>
        <v/>
      </c>
    </row>
    <row r="45" customFormat="false" ht="15" hidden="false" customHeight="false" outlineLevel="0" collapsed="false">
      <c r="A45" s="0" t="str">
        <f aca="false">IF(Projects!$C$47="","",Projects!$C$47)</f>
        <v/>
      </c>
      <c r="B45" s="0" t="str">
        <f aca="false">IF(Projects!$C$47="","","Project")</f>
        <v/>
      </c>
      <c r="C45" s="0" t="str">
        <f aca="false">IF(Projects!$C$47="","","Yes")</f>
        <v/>
      </c>
    </row>
    <row r="46" customFormat="false" ht="15" hidden="false" customHeight="false" outlineLevel="0" collapsed="false">
      <c r="A46" s="0" t="str">
        <f aca="false">IF(Projects!$C$48="","",Projects!$C$48)</f>
        <v/>
      </c>
      <c r="B46" s="0" t="str">
        <f aca="false">IF(Projects!$C$48="","","Project")</f>
        <v/>
      </c>
      <c r="C46" s="0" t="str">
        <f aca="false">IF(Projects!$C$48="","","Yes")</f>
        <v/>
      </c>
    </row>
    <row r="47" customFormat="false" ht="15" hidden="false" customHeight="false" outlineLevel="0" collapsed="false">
      <c r="A47" s="0" t="str">
        <f aca="false">IF(Projects!$C$49="","",Projects!$C$49)</f>
        <v/>
      </c>
      <c r="B47" s="0" t="str">
        <f aca="false">IF(Projects!$C$49="","","Project")</f>
        <v/>
      </c>
      <c r="C47" s="0" t="str">
        <f aca="false">IF(Projects!$C$49="","","Yes")</f>
        <v/>
      </c>
    </row>
    <row r="48" customFormat="false" ht="15" hidden="false" customHeight="false" outlineLevel="0" collapsed="false">
      <c r="A48" s="0" t="str">
        <f aca="false">IF(Projects!$C$50="","",Projects!$C$50)</f>
        <v/>
      </c>
      <c r="B48" s="0" t="str">
        <f aca="false">IF(Projects!$C$50="","","Project")</f>
        <v/>
      </c>
      <c r="C48" s="0" t="str">
        <f aca="false">IF(Projects!$C$50="","","Yes")</f>
        <v/>
      </c>
    </row>
    <row r="49" customFormat="false" ht="15" hidden="false" customHeight="false" outlineLevel="0" collapsed="false">
      <c r="A49" s="0" t="str">
        <f aca="false">IF(Projects!$C$51="","",Projects!$C$51)</f>
        <v/>
      </c>
      <c r="B49" s="0" t="str">
        <f aca="false">IF(Projects!$C$51="","","Project")</f>
        <v/>
      </c>
      <c r="C49" s="0" t="str">
        <f aca="false">IF(Projects!$C$51="","","Yes")</f>
        <v/>
      </c>
    </row>
    <row r="50" customFormat="false" ht="15" hidden="false" customHeight="false" outlineLevel="0" collapsed="false">
      <c r="A50" s="0" t="str">
        <f aca="false">IF(Projects!$C$52="","",Projects!$C$52)</f>
        <v/>
      </c>
      <c r="B50" s="0" t="str">
        <f aca="false">IF(Projects!$C$52="","","Project")</f>
        <v/>
      </c>
      <c r="C50" s="0" t="str">
        <f aca="false">IF(Projects!$C$52="","","Yes")</f>
        <v/>
      </c>
    </row>
    <row r="51" customFormat="false" ht="15" hidden="false" customHeight="false" outlineLevel="0" collapsed="false">
      <c r="A51" s="0" t="str">
        <f aca="false">IF(Projects!$C$53="","",Projects!$C$53)</f>
        <v/>
      </c>
      <c r="B51" s="0" t="str">
        <f aca="false">IF(Projects!$C$53="","","Project")</f>
        <v/>
      </c>
      <c r="C51" s="0" t="str">
        <f aca="false">IF(Projects!$C$53="","","Yes")</f>
        <v/>
      </c>
    </row>
    <row r="52" customFormat="false" ht="15" hidden="false" customHeight="false" outlineLevel="0" collapsed="false">
      <c r="A52" s="0" t="str">
        <f aca="false">IF(Projects!$C$54="","",Projects!$C$54)</f>
        <v/>
      </c>
      <c r="B52" s="0" t="str">
        <f aca="false">IF(Projects!$C$54="","","Project")</f>
        <v/>
      </c>
      <c r="C52" s="0" t="str">
        <f aca="false">IF(Projects!$C$54="","","Yes")</f>
        <v/>
      </c>
    </row>
    <row r="53" customFormat="false" ht="15" hidden="false" customHeight="false" outlineLevel="0" collapsed="false">
      <c r="A53" s="0" t="str">
        <f aca="false">IF(Projects!$C$55="","",Projects!$C$55)</f>
        <v/>
      </c>
      <c r="B53" s="0" t="str">
        <f aca="false">IF(Projects!$C$55="","","Project")</f>
        <v/>
      </c>
      <c r="C53" s="0" t="str">
        <f aca="false">IF(Projects!$C$55="","","Yes")</f>
        <v/>
      </c>
    </row>
    <row r="54" customFormat="false" ht="15" hidden="false" customHeight="false" outlineLevel="0" collapsed="false">
      <c r="A54" s="0" t="str">
        <f aca="false">IF(Projects!$C$56="","",Projects!$C$56)</f>
        <v/>
      </c>
      <c r="B54" s="0" t="str">
        <f aca="false">IF(Projects!$C$56="","","Project")</f>
        <v/>
      </c>
      <c r="C54" s="0" t="str">
        <f aca="false">IF(Projects!$C$56="","","Yes")</f>
        <v/>
      </c>
    </row>
    <row r="55" customFormat="false" ht="15" hidden="false" customHeight="false" outlineLevel="0" collapsed="false">
      <c r="A55" s="0" t="str">
        <f aca="false">IF(Projects!$C$57="","",Projects!$C$57)</f>
        <v/>
      </c>
      <c r="B55" s="0" t="str">
        <f aca="false">IF(Projects!$C$57="","","Project")</f>
        <v/>
      </c>
      <c r="C55" s="0" t="str">
        <f aca="false">IF(Projects!$C$57="","","Yes")</f>
        <v/>
      </c>
    </row>
    <row r="56" customFormat="false" ht="15" hidden="false" customHeight="false" outlineLevel="0" collapsed="false">
      <c r="A56" s="0" t="str">
        <f aca="false">IF(Projects!$C$58="","",Projects!$C$58)</f>
        <v/>
      </c>
      <c r="B56" s="0" t="str">
        <f aca="false">IF(Projects!$C$58="","","Project")</f>
        <v/>
      </c>
      <c r="C56" s="0" t="str">
        <f aca="false">IF(Projects!$C$58="","","Yes")</f>
        <v/>
      </c>
    </row>
    <row r="57" customFormat="false" ht="15" hidden="false" customHeight="false" outlineLevel="0" collapsed="false">
      <c r="A57" s="0" t="str">
        <f aca="false">IF(Projects!$C$59="","",Projects!$C$59)</f>
        <v/>
      </c>
      <c r="B57" s="0" t="str">
        <f aca="false">IF(Projects!$C$59="","","Project")</f>
        <v/>
      </c>
      <c r="C57" s="0" t="str">
        <f aca="false">IF(Projects!$C$59="","","Yes")</f>
        <v/>
      </c>
    </row>
    <row r="58" customFormat="false" ht="15" hidden="false" customHeight="false" outlineLevel="0" collapsed="false">
      <c r="A58" s="0" t="str">
        <f aca="false">IF(Projects!$C$60="","",Projects!$C$60)</f>
        <v/>
      </c>
      <c r="B58" s="0" t="str">
        <f aca="false">IF(Projects!$C$60="","","Project")</f>
        <v/>
      </c>
      <c r="C58" s="0" t="str">
        <f aca="false">IF(Projects!$C$60="","","Yes")</f>
        <v/>
      </c>
    </row>
    <row r="59" customFormat="false" ht="15" hidden="false" customHeight="false" outlineLevel="0" collapsed="false">
      <c r="A59" s="0" t="str">
        <f aca="false">IF(Projects!$C$61="","",Projects!$C$61)</f>
        <v/>
      </c>
      <c r="B59" s="0" t="str">
        <f aca="false">IF(Projects!$C$61="","","Project")</f>
        <v/>
      </c>
      <c r="C59" s="0" t="str">
        <f aca="false">IF(Projects!$C$61="","","Yes")</f>
        <v/>
      </c>
    </row>
    <row r="60" customFormat="false" ht="15" hidden="false" customHeight="false" outlineLevel="0" collapsed="false">
      <c r="A60" s="0" t="str">
        <f aca="false">IF(Projects!$C$62="","",Projects!$C$62)</f>
        <v/>
      </c>
      <c r="B60" s="0" t="str">
        <f aca="false">IF(Projects!$C$62="","","Project")</f>
        <v/>
      </c>
      <c r="C60" s="0" t="str">
        <f aca="false">IF(Projects!$C$62="","","Yes")</f>
        <v/>
      </c>
    </row>
    <row r="61" customFormat="false" ht="15" hidden="false" customHeight="false" outlineLevel="0" collapsed="false">
      <c r="A61" s="0" t="str">
        <f aca="false">IF(Projects!$C$63="","",Projects!$C$63)</f>
        <v/>
      </c>
      <c r="B61" s="0" t="str">
        <f aca="false">IF(Projects!$C$63="","","Project")</f>
        <v/>
      </c>
      <c r="C61" s="0" t="str">
        <f aca="false">IF(Projects!$C$63="","","Yes")</f>
        <v/>
      </c>
    </row>
    <row r="62" customFormat="false" ht="15" hidden="false" customHeight="false" outlineLevel="0" collapsed="false">
      <c r="A62" s="0" t="str">
        <f aca="false">IF('Indirect Codes'!$A$4="","",'Indirect Codes'!$A$4)</f>
        <v>OH-ADMIN</v>
      </c>
      <c r="B62" s="0" t="str">
        <f aca="false">IF('Indirect Codes'!$A$4="","","Indirect")</f>
        <v>Indirect</v>
      </c>
      <c r="C62" s="0" t="str">
        <f aca="false">IF('Indirect Codes'!$A$4="","","No")</f>
        <v>No</v>
      </c>
    </row>
    <row r="63" customFormat="false" ht="15" hidden="false" customHeight="false" outlineLevel="0" collapsed="false">
      <c r="A63" s="0" t="str">
        <f aca="false">IF('Indirect Codes'!$A$5="","",'Indirect Codes'!$A$5)</f>
        <v>OH-BD</v>
      </c>
      <c r="B63" s="0" t="str">
        <f aca="false">IF('Indirect Codes'!$A$5="","","Indirect")</f>
        <v>Indirect</v>
      </c>
      <c r="C63" s="0" t="str">
        <f aca="false">IF('Indirect Codes'!$A$5="","","No")</f>
        <v>No</v>
      </c>
    </row>
    <row r="64" customFormat="false" ht="15" hidden="false" customHeight="false" outlineLevel="0" collapsed="false">
      <c r="A64" s="0" t="str">
        <f aca="false">IF('Indirect Codes'!$A$6="","",'Indirect Codes'!$A$6)</f>
        <v>OH-PTO</v>
      </c>
      <c r="B64" s="0" t="str">
        <f aca="false">IF('Indirect Codes'!$A$6="","","Indirect")</f>
        <v>Indirect</v>
      </c>
      <c r="C64" s="0" t="str">
        <f aca="false">IF('Indirect Codes'!$A$6="","","No")</f>
        <v>No</v>
      </c>
    </row>
    <row r="65" customFormat="false" ht="15" hidden="false" customHeight="false" outlineLevel="0" collapsed="false">
      <c r="A65" s="0" t="str">
        <f aca="false">IF('Indirect Codes'!$A$7="","",'Indirect Codes'!$A$7)</f>
        <v>OH-HOL</v>
      </c>
      <c r="B65" s="0" t="str">
        <f aca="false">IF('Indirect Codes'!$A$7="","","Indirect")</f>
        <v>Indirect</v>
      </c>
      <c r="C65" s="0" t="str">
        <f aca="false">IF('Indirect Codes'!$A$7="","","No")</f>
        <v>No</v>
      </c>
    </row>
    <row r="66" customFormat="false" ht="15" hidden="false" customHeight="false" outlineLevel="0" collapsed="false">
      <c r="A66" s="0" t="str">
        <f aca="false">IF('Indirect Codes'!$A$8="","",'Indirect Codes'!$A$8)</f>
        <v>OH-SICK</v>
      </c>
      <c r="B66" s="0" t="str">
        <f aca="false">IF('Indirect Codes'!$A$8="","","Indirect")</f>
        <v>Indirect</v>
      </c>
      <c r="C66" s="0" t="str">
        <f aca="false">IF('Indirect Codes'!$A$8="","","No")</f>
        <v>No</v>
      </c>
    </row>
    <row r="67" customFormat="false" ht="15" hidden="false" customHeight="false" outlineLevel="0" collapsed="false">
      <c r="A67" s="0" t="str">
        <f aca="false">IF('Indirect Codes'!$A$9="","",'Indirect Codes'!$A$9)</f>
        <v>OH-TRAIN</v>
      </c>
      <c r="B67" s="0" t="str">
        <f aca="false">IF('Indirect Codes'!$A$9="","","Indirect")</f>
        <v>Indirect</v>
      </c>
      <c r="C67" s="0" t="str">
        <f aca="false">IF('Indirect Codes'!$A$9="","","No")</f>
        <v>No</v>
      </c>
    </row>
    <row r="68" customFormat="false" ht="15" hidden="false" customHeight="false" outlineLevel="0" collapsed="false">
      <c r="A68" s="0" t="str">
        <f aca="false">IF('Indirect Codes'!$A$10="","",'Indirect Codes'!$A$10)</f>
        <v>OH-MTG</v>
      </c>
      <c r="B68" s="0" t="str">
        <f aca="false">IF('Indirect Codes'!$A$10="","","Indirect")</f>
        <v>Indirect</v>
      </c>
      <c r="C68" s="0" t="str">
        <f aca="false">IF('Indirect Codes'!$A$10="","","No")</f>
        <v>No</v>
      </c>
    </row>
    <row r="69" customFormat="false" ht="15" hidden="false" customHeight="false" outlineLevel="0" collapsed="false">
      <c r="A69" s="0" t="str">
        <f aca="false">IF('Indirect Codes'!$A$11="","",'Indirect Codes'!$A$11)</f>
        <v>OH-IT</v>
      </c>
      <c r="B69" s="0" t="str">
        <f aca="false">IF('Indirect Codes'!$A$11="","","Indirect")</f>
        <v>Indirect</v>
      </c>
      <c r="C69" s="0" t="str">
        <f aca="false">IF('Indirect Codes'!$A$11="","","No")</f>
        <v>No</v>
      </c>
    </row>
    <row r="70" customFormat="false" ht="15" hidden="false" customHeight="false" outlineLevel="0" collapsed="false">
      <c r="A70" s="0" t="str">
        <f aca="false">IF('Indirect Codes'!$A$12="","",'Indirect Codes'!$A$12)</f>
        <v>OH-RND</v>
      </c>
      <c r="B70" s="0" t="str">
        <f aca="false">IF('Indirect Codes'!$A$12="","","Indirect")</f>
        <v>Indirect</v>
      </c>
      <c r="C70" s="0" t="str">
        <f aca="false">IF('Indirect Codes'!$A$12="","","No")</f>
        <v>No</v>
      </c>
    </row>
    <row r="71" customFormat="false" ht="15" hidden="false" customHeight="false" outlineLevel="0" collapsed="false">
      <c r="A71" s="0" t="str">
        <f aca="false">IF('Indirect Codes'!$A$13="","",'Indirect Codes'!$A$13)</f>
        <v/>
      </c>
      <c r="B71" s="0" t="str">
        <f aca="false">IF('Indirect Codes'!$A$13="","","Indirect")</f>
        <v/>
      </c>
      <c r="C71" s="0" t="str">
        <f aca="false">IF('Indirect Codes'!$A$13="","","No")</f>
        <v/>
      </c>
    </row>
    <row r="72" customFormat="false" ht="15" hidden="false" customHeight="false" outlineLevel="0" collapsed="false">
      <c r="A72" s="0" t="str">
        <f aca="false">IF('Indirect Codes'!$A$14="","",'Indirect Codes'!$A$14)</f>
        <v/>
      </c>
      <c r="B72" s="0" t="str">
        <f aca="false">IF('Indirect Codes'!$A$14="","","Indirect")</f>
        <v/>
      </c>
      <c r="C72" s="0" t="str">
        <f aca="false">IF('Indirect Codes'!$A$14="","","No")</f>
        <v/>
      </c>
    </row>
    <row r="73" customFormat="false" ht="15" hidden="false" customHeight="false" outlineLevel="0" collapsed="false">
      <c r="A73" s="0" t="str">
        <f aca="false">IF('Indirect Codes'!$A$15="","",'Indirect Codes'!$A$15)</f>
        <v/>
      </c>
      <c r="B73" s="0" t="str">
        <f aca="false">IF('Indirect Codes'!$A$15="","","Indirect")</f>
        <v/>
      </c>
      <c r="C73" s="0" t="str">
        <f aca="false">IF('Indirect Codes'!$A$15="","","No")</f>
        <v/>
      </c>
    </row>
    <row r="74" customFormat="false" ht="15" hidden="false" customHeight="false" outlineLevel="0" collapsed="false">
      <c r="A74" s="0" t="str">
        <f aca="false">IF('Indirect Codes'!$A$16="","",'Indirect Codes'!$A$16)</f>
        <v/>
      </c>
      <c r="B74" s="0" t="str">
        <f aca="false">IF('Indirect Codes'!$A$16="","","Indirect")</f>
        <v/>
      </c>
      <c r="C74" s="0" t="str">
        <f aca="false">IF('Indirect Codes'!$A$16="","","No")</f>
        <v/>
      </c>
    </row>
    <row r="75" customFormat="false" ht="15" hidden="false" customHeight="false" outlineLevel="0" collapsed="false">
      <c r="A75" s="0" t="str">
        <f aca="false">IF('Indirect Codes'!$A$17="","",'Indirect Codes'!$A$17)</f>
        <v/>
      </c>
      <c r="B75" s="0" t="str">
        <f aca="false">IF('Indirect Codes'!$A$17="","","Indirect")</f>
        <v/>
      </c>
      <c r="C75" s="0" t="str">
        <f aca="false">IF('Indirect Codes'!$A$17="","","No")</f>
        <v/>
      </c>
    </row>
    <row r="76" customFormat="false" ht="15" hidden="false" customHeight="false" outlineLevel="0" collapsed="false">
      <c r="A76" s="0" t="str">
        <f aca="false">IF('Indirect Codes'!$A$18="","",'Indirect Codes'!$A$18)</f>
        <v/>
      </c>
      <c r="B76" s="0" t="str">
        <f aca="false">IF('Indirect Codes'!$A$18="","","Indirect")</f>
        <v/>
      </c>
      <c r="C76" s="0" t="str">
        <f aca="false">IF('Indirect Codes'!$A$18="","","No")</f>
        <v/>
      </c>
    </row>
    <row r="77" customFormat="false" ht="15" hidden="false" customHeight="false" outlineLevel="0" collapsed="false">
      <c r="A77" s="0" t="str">
        <f aca="false">IF('Indirect Codes'!$A$19="","",'Indirect Codes'!$A$19)</f>
        <v/>
      </c>
      <c r="B77" s="0" t="str">
        <f aca="false">IF('Indirect Codes'!$A$19="","","Indirect")</f>
        <v/>
      </c>
      <c r="C77" s="0" t="str">
        <f aca="false">IF('Indirect Codes'!$A$19="","","No")</f>
        <v/>
      </c>
    </row>
    <row r="78" customFormat="false" ht="15" hidden="false" customHeight="false" outlineLevel="0" collapsed="false">
      <c r="A78" s="0" t="str">
        <f aca="false">IF('Indirect Codes'!$A$20="","",'Indirect Codes'!$A$20)</f>
        <v/>
      </c>
      <c r="B78" s="0" t="str">
        <f aca="false">IF('Indirect Codes'!$A$20="","","Indirect")</f>
        <v/>
      </c>
      <c r="C78" s="0" t="str">
        <f aca="false">IF('Indirect Codes'!$A$20="","","No")</f>
        <v/>
      </c>
    </row>
    <row r="79" customFormat="false" ht="15" hidden="false" customHeight="false" outlineLevel="0" collapsed="false">
      <c r="A79" s="0" t="str">
        <f aca="false">IF('Indirect Codes'!$A$21="","",'Indirect Codes'!$A$21)</f>
        <v/>
      </c>
      <c r="B79" s="0" t="str">
        <f aca="false">IF('Indirect Codes'!$A$21="","","Indirect")</f>
        <v/>
      </c>
      <c r="C79" s="0" t="str">
        <f aca="false">IF('Indirect Codes'!$A$21="","","No")</f>
        <v/>
      </c>
    </row>
    <row r="80" customFormat="false" ht="15" hidden="false" customHeight="false" outlineLevel="0" collapsed="false">
      <c r="A80" s="0" t="str">
        <f aca="false">IF('Indirect Codes'!$A$22="","",'Indirect Codes'!$A$22)</f>
        <v/>
      </c>
      <c r="B80" s="0" t="str">
        <f aca="false">IF('Indirect Codes'!$A$22="","","Indirect")</f>
        <v/>
      </c>
      <c r="C80" s="0" t="str">
        <f aca="false">IF('Indirect Codes'!$A$22="","","No")</f>
        <v/>
      </c>
    </row>
    <row r="81" customFormat="false" ht="15" hidden="false" customHeight="false" outlineLevel="0" collapsed="false">
      <c r="A81" s="0" t="str">
        <f aca="false">IF('Indirect Codes'!$A$23="","",'Indirect Codes'!$A$23)</f>
        <v/>
      </c>
      <c r="B81" s="0" t="str">
        <f aca="false">IF('Indirect Codes'!$A$23="","","Indirect")</f>
        <v/>
      </c>
      <c r="C81" s="0" t="str">
        <f aca="false">IF('Indirect Codes'!$A$23="","","No")</f>
        <v/>
      </c>
    </row>
    <row r="82" customFormat="false" ht="15" hidden="false" customHeight="false" outlineLevel="0" collapsed="false">
      <c r="A82" s="0" t="str">
        <f aca="false">IF('Indirect Codes'!$A$24="","",'Indirect Codes'!$A$24)</f>
        <v/>
      </c>
      <c r="B82" s="0" t="str">
        <f aca="false">IF('Indirect Codes'!$A$24="","","Indirect")</f>
        <v/>
      </c>
      <c r="C82" s="0" t="str">
        <f aca="false">IF('Indirect Codes'!$A$24="","","No")</f>
        <v/>
      </c>
    </row>
    <row r="83" customFormat="false" ht="15" hidden="false" customHeight="false" outlineLevel="0" collapsed="false">
      <c r="A83" s="0" t="str">
        <f aca="false">IF('Indirect Codes'!$A$25="","",'Indirect Codes'!$A$25)</f>
        <v/>
      </c>
      <c r="B83" s="0" t="str">
        <f aca="false">IF('Indirect Codes'!$A$25="","","Indirect")</f>
        <v/>
      </c>
      <c r="C83" s="0" t="str">
        <f aca="false">IF('Indirect Codes'!$A$25="","","No")</f>
        <v/>
      </c>
    </row>
    <row r="84" customFormat="false" ht="15" hidden="false" customHeight="false" outlineLevel="0" collapsed="false">
      <c r="A84" s="0" t="str">
        <f aca="false">IF('Indirect Codes'!$A$26="","",'Indirect Codes'!$A$26)</f>
        <v/>
      </c>
      <c r="B84" s="0" t="str">
        <f aca="false">IF('Indirect Codes'!$A$26="","","Indirect")</f>
        <v/>
      </c>
      <c r="C84" s="0" t="str">
        <f aca="false">IF('Indirect Codes'!$A$26="","","No")</f>
        <v/>
      </c>
    </row>
    <row r="85" customFormat="false" ht="15" hidden="false" customHeight="false" outlineLevel="0" collapsed="false">
      <c r="A85" s="0" t="str">
        <f aca="false">IF('Indirect Codes'!$A$27="","",'Indirect Codes'!$A$27)</f>
        <v/>
      </c>
      <c r="B85" s="0" t="str">
        <f aca="false">IF('Indirect Codes'!$A$27="","","Indirect")</f>
        <v/>
      </c>
      <c r="C85" s="0" t="str">
        <f aca="false">IF('Indirect Codes'!$A$27="","","No")</f>
        <v/>
      </c>
    </row>
    <row r="86" customFormat="false" ht="15" hidden="false" customHeight="false" outlineLevel="0" collapsed="false">
      <c r="A86" s="0" t="str">
        <f aca="false">IF('Indirect Codes'!$A$28="","",'Indirect Codes'!$A$28)</f>
        <v/>
      </c>
      <c r="B86" s="0" t="str">
        <f aca="false">IF('Indirect Codes'!$A$28="","","Indirect")</f>
        <v/>
      </c>
      <c r="C86" s="0" t="str">
        <f aca="false">IF('Indirect Codes'!$A$28="","","No")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2026-08-01T16:04:36Z</dcterms:created>
  <dc:creator>openpyxl</dc:creator>
  <dc:description/>
  <dc:language>en-US</dc:language>
  <cp:lastModifiedBy/>
  <dcterms:modified xsi:type="dcterms:W3CDTF">2026-08-01T16:04:38Z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